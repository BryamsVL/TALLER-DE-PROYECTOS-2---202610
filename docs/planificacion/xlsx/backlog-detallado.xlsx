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upi\Downloads\"/>
    </mc:Choice>
  </mc:AlternateContent>
  <xr:revisionPtr revIDLastSave="0" documentId="8_{A111357F-CDD5-4E9C-887F-A6C89686A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 del Producto" sheetId="1" r:id="rId1"/>
    <sheet name="Spr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E7" i="2"/>
</calcChain>
</file>

<file path=xl/sharedStrings.xml><?xml version="1.0" encoding="utf-8"?>
<sst xmlns="http://schemas.openxmlformats.org/spreadsheetml/2006/main" count="284" uniqueCount="190">
  <si>
    <t>Backlog Detallado del Producto — SGOHA</t>
  </si>
  <si>
    <t>Por Hacer</t>
  </si>
  <si>
    <t>Nombre del Proyecto:</t>
  </si>
  <si>
    <t>SGOHA — Sistema de Generación Óptima de Horarios Académicos</t>
  </si>
  <si>
    <t>En Progreso</t>
  </si>
  <si>
    <t>Stack Tecnológico:</t>
  </si>
  <si>
    <t>React + TypeScript · Express · Node.js · PostgreSQL · OR-Tools</t>
  </si>
  <si>
    <t>Eliminado</t>
  </si>
  <si>
    <t>Duración:</t>
  </si>
  <si>
    <t>HISTORIA DE USUARIO</t>
  </si>
  <si>
    <t>TAREA</t>
  </si>
  <si>
    <t>OTROS DATOS</t>
  </si>
  <si>
    <t>#</t>
  </si>
  <si>
    <t>ID Historia</t>
  </si>
  <si>
    <t>Rol</t>
  </si>
  <si>
    <t>Deseo…</t>
  </si>
  <si>
    <t>Para…</t>
  </si>
  <si>
    <t>ID Tarea</t>
  </si>
  <si>
    <t>Descripción de Tarea</t>
  </si>
  <si>
    <t>Criterios de Aceptación</t>
  </si>
  <si>
    <t>Prioridad</t>
  </si>
  <si>
    <t>Estimación (pts)</t>
  </si>
  <si>
    <t>Dependencias</t>
  </si>
  <si>
    <t>Sprint</t>
  </si>
  <si>
    <t>Estado</t>
  </si>
  <si>
    <t>Comentarios</t>
  </si>
  <si>
    <t>HU01</t>
  </si>
  <si>
    <t>Administrador</t>
  </si>
  <si>
    <t>registrar usuarios con roles (admin, coordinador, docente, estudiante)</t>
  </si>
  <si>
    <t>controlar el acceso al sistema</t>
  </si>
  <si>
    <t>T1.1</t>
  </si>
  <si>
    <t>Crear endpoint POST /auth/register con validación de rol y hash bcrypt</t>
  </si>
  <si>
    <t>- El sistema crea el usuario con rol asignado y contraseña hasheada con bcrypt.
- No permite roles inválidos.
- Devuelve error 400 si el email ya existe.</t>
  </si>
  <si>
    <t>Alta</t>
  </si>
  <si>
    <t>-</t>
  </si>
  <si>
    <t>Sprint 1</t>
  </si>
  <si>
    <t>Autenticación base</t>
  </si>
  <si>
    <t>HU02</t>
  </si>
  <si>
    <t>Usuario registrado</t>
  </si>
  <si>
    <t>iniciar sesión con email y contraseña</t>
  </si>
  <si>
    <t>obtener un token JWT y acceder al sistema</t>
  </si>
  <si>
    <t>T2.1</t>
  </si>
  <si>
    <t>Implementar POST /auth/login con generación de JWT (exp. 8h)</t>
  </si>
  <si>
    <t>- El login devuelve un JWT con expiración de 8h.
- Las rutas protegidas rechazan tokens inválidos o expirados con 401.
- El token incluye el rol del usuario.</t>
  </si>
  <si>
    <t>Seguridad JWT</t>
  </si>
  <si>
    <t>HU03</t>
  </si>
  <si>
    <t>editar y desactivar cuentas de usuario</t>
  </si>
  <si>
    <t>mantener actualizado el directorio del sistema</t>
  </si>
  <si>
    <t>T3.1</t>
  </si>
  <si>
    <t>CRUD de usuarios: PUT /users/:id y PATCH /users/:id/deactivate</t>
  </si>
  <si>
    <t>- Solo el admin puede editar cualquier cuenta.
- Un usuario desactivado no puede iniciar sesión.
- Los cambios quedan registrados en el log de auditoría.</t>
  </si>
  <si>
    <t>Media</t>
  </si>
  <si>
    <t>HU04</t>
  </si>
  <si>
    <t>registrar cursos con nombre, créditos, tipo de aula requerida y prerrequisitos</t>
  </si>
  <si>
    <t>configurar la oferta académica</t>
  </si>
  <si>
    <t>T4.1</t>
  </si>
  <si>
    <t>CRUD cursos con validación de tipo de aula y rango de créditos (1–6)</t>
  </si>
  <si>
    <t>- El curso se guarda con todos sus atributos.
- El tipo de aula acepta solo: normal, laboratorio, sala_audiovisual.
- No permite créditos fuera del rango 1–6.</t>
  </si>
  <si>
    <t>Entidad académica</t>
  </si>
  <si>
    <t>HU05</t>
  </si>
  <si>
    <t>registrar aulas con capacidad, tipo y disponibilidad</t>
  </si>
  <si>
    <t>que el solver CSP pueda asignarlas correctamente</t>
  </si>
  <si>
    <t>T5.1</t>
  </si>
  <si>
    <t>CRUD aulas con código único y flag de aula activa/inactiva</t>
  </si>
  <si>
    <t>- El aula se registra con código único, capacidad numérica y tipo.
- El sistema impide registrar dos aulas con el mismo código.
- Se puede marcar una aula como inactiva.</t>
  </si>
  <si>
    <t>HU06</t>
  </si>
  <si>
    <t>crear y gestionar períodos académicos con fechas de apertura y cierre de matrícula</t>
  </si>
  <si>
    <t>controlar el ciclo académico activo</t>
  </si>
  <si>
    <t>T6.1</t>
  </si>
  <si>
    <t>CRUD períodos: solo un período activo simultáneo, validación de fechas</t>
  </si>
  <si>
    <t>- El período tiene nombre, fecha de inicio, fecha de fin y estado (activo/cerrado).
- Solo puede haber un período activo a la vez.
- El sistema impide matricular fuera del período activo.</t>
  </si>
  <si>
    <t>HU07</t>
  </si>
  <si>
    <t>Docente</t>
  </si>
  <si>
    <t>registrar mis franjas horarias disponibles por día de la semana</t>
  </si>
  <si>
    <t>que el sistema respete mi disponibilidad al generar horarios</t>
  </si>
  <si>
    <t>T7.1</t>
  </si>
  <si>
    <t>UI + API de disponibilidad por franja (07:00–19:30) con actualización antes del cierre</t>
  </si>
  <si>
    <t>- El docente puede marcar disponibilidad por cada franja (07:00-08:30, 08:30-10:00, etc.).
- La disponibilidad se puede actualizar antes del cierre del período.
- El sistema muestra visualmente las franjas seleccionadas.</t>
  </si>
  <si>
    <t>Sprint 2</t>
  </si>
  <si>
    <t>HU08</t>
  </si>
  <si>
    <t>Estudiante</t>
  </si>
  <si>
    <t>ver los cursos disponibles del período activo con sus prerrequisitos</t>
  </si>
  <si>
    <t>decidir cuáles matricular</t>
  </si>
  <si>
    <t>T8.1</t>
  </si>
  <si>
    <t>Listado de cursos del período activo con indicador visual de prerrequisitos cumplidos</t>
  </si>
  <si>
    <t>- El listado muestra solo cursos del período activo.
- Indica visualmente si el estudiante cumple o no los prerrequisitos.
- Muestra créditos por curso.</t>
  </si>
  <si>
    <t>HU09</t>
  </si>
  <si>
    <t>que el sistema valide automáticamente mis prerrequisitos al seleccionar un curso</t>
  </si>
  <si>
    <t>evitar inscribirme en cursos que no puedo llevar</t>
  </si>
  <si>
    <t>T9.1</t>
  </si>
  <si>
    <t>Validación en tiempo real de prerrequisitos contra historial académico en BD</t>
  </si>
  <si>
    <t>- Si el estudiante no cumple el prerrequisito, el sistema bloquea la selección con mensaje claro.
- La validación ocurre en tiempo real sin recargar la página.
- El historial académico se consulta desde la base de datos.</t>
  </si>
  <si>
    <t>HU10</t>
  </si>
  <si>
    <t>ver el acumulado de créditos en tiempo real al seleccionar cursos</t>
  </si>
  <si>
    <t>no exceder el límite de 22 créditos por ciclo</t>
  </si>
  <si>
    <t>T10.1</t>
  </si>
  <si>
    <t>Contador de créditos (20–22) con alerta visual y bloqueo al exceder límite</t>
  </si>
  <si>
    <t>- El contador se actualiza al agregar o quitar cursos.
- El sistema bloquea la confirmación si el total es menor a 20 o mayor a 22.
- Se muestra alerta visual al acercarse al límite.</t>
  </si>
  <si>
    <t>HU11</t>
  </si>
  <si>
    <t>Coordinador</t>
  </si>
  <si>
    <t>que el sistema genere automáticamente un horario académico válido para todos los cursos del período</t>
  </si>
  <si>
    <t>evitar conflictos de docente, aula ni franja</t>
  </si>
  <si>
    <t>T11.1</t>
  </si>
  <si>
    <t>Microservicio FastAPI + OR-Tools: POST /horarios/generar, timeout 5s para 100 cursos</t>
  </si>
  <si>
    <t>- El horario se genera en menos de 5 segundos para 100 cursos.
- Ningún docente aparece asignado a dos cursos en la misma franja.
- Ningún aula tiene dos cursos simultáneos.
- El resultado se almacena en la base de datos.</t>
  </si>
  <si>
    <t>Core CSP</t>
  </si>
  <si>
    <t>HU12</t>
  </si>
  <si>
    <t>confirmar mi matrícula y recibir una constancia en PDF</t>
  </si>
  <si>
    <t>tener evidencia de mis cursos inscritos</t>
  </si>
  <si>
    <t>T12.1</t>
  </si>
  <si>
    <t>Endpoint de confirmación + generación de PDF con PDFKit (nombre, cursos, créditos, fecha)</t>
  </si>
  <si>
    <t>- La confirmación guarda la matrícula en la base de datos.
- Se genera un PDF con nombre del estudiante, cursos, créditos y fecha.
- El PDF es descargable desde el sistema.</t>
  </si>
  <si>
    <t>Sprint 3</t>
  </si>
  <si>
    <t>HU13</t>
  </si>
  <si>
    <t>que el sistema detecte y notifique conflictos en tiempo real al modificar manualmente una asignación</t>
  </si>
  <si>
    <t>corregir errores antes de publicar el horario</t>
  </si>
  <si>
    <t>T13.1</t>
  </si>
  <si>
    <t>Validación inmediata al mover asignación: alerta con detalle de conflicto</t>
  </si>
  <si>
    <t>- Al mover una asignación, el sistema valida inmediatamente si hay conflicto.
- Si existe conflicto, muestra alerta con detalle (docente/aula/franja ocupada).
- No permite guardar una asignación con conflicto sin confirmación explícita.</t>
  </si>
  <si>
    <t>HU14</t>
  </si>
  <si>
    <t>poder modificar manualmente asignaciones del horario generado</t>
  </si>
  <si>
    <t>ajustar casos especiales no cubiertos por el algoritmo</t>
  </si>
  <si>
    <t>T14.1</t>
  </si>
  <si>
    <t>Drag-and-drop de asignaciones con revalidación CSP y log de cambios manuales</t>
  </si>
  <si>
    <t>- El coordinador puede arrastrar o reasignar curso-docente-aula-franja.
- Cada cambio dispara revalidación del CSP.
- Los cambios manuales quedan marcados como 'editados manualmente' en el log.</t>
  </si>
  <si>
    <t>HU15</t>
  </si>
  <si>
    <t>que el sistema devuelva una solución parcial con indicación de los cursos sin asignar</t>
  </si>
  <si>
    <t>gestionar casos donde el CSP no encuentra solución completa en tiempo límite</t>
  </si>
  <si>
    <t>T15.1</t>
  </si>
  <si>
    <t>Respuesta parcial del solver tras 5s de timeout con lista de cursos sin asignar</t>
  </si>
  <si>
    <t>- Si el solver supera 5 segundos, devuelve lo resuelto hasta ese punto.
- Los cursos sin asignar se listan claramente.
- El coordinador puede reintentar con restricciones relajadas.</t>
  </si>
  <si>
    <t>HU16</t>
  </si>
  <si>
    <t>Usuario</t>
  </si>
  <si>
    <t>visualizar el horario en formato calendario semanal filtrado por mi rol</t>
  </si>
  <si>
    <t>ver únicamente la información relevante</t>
  </si>
  <si>
    <t>T16.1</t>
  </si>
  <si>
    <t>Calendario FullCalendar lun–sáb 07:00–19:30 con vistas diferenciadas por rol</t>
  </si>
  <si>
    <t>- El calendario muestra lunes a sábado con franjas de 07:00 a 19:30.
- El estudiante ve solo sus cursos matriculados.
- El docente ve su carga asignada.
- El coordinador ve todos los cursos.</t>
  </si>
  <si>
    <t>UI FullCalendar</t>
  </si>
  <si>
    <t>HU17</t>
  </si>
  <si>
    <t>filtrar el horario por docente, aula, ciclo o turno</t>
  </si>
  <si>
    <t>facilitar la revisión y detección de problemas</t>
  </si>
  <si>
    <t>T17.1</t>
  </si>
  <si>
    <t>Filtros combinables sin recarga de página, actualización del calendario &lt; 1 segundo</t>
  </si>
  <si>
    <t>- Los filtros se aplican sin recargar la página.
- Se pueden combinar múltiples filtros.
- El calendario actualiza su vista en menos de 1 segundo al cambiar filtros.</t>
  </si>
  <si>
    <t>HU18</t>
  </si>
  <si>
    <t>exportar el horario generado en PDF y Excel</t>
  </si>
  <si>
    <t>distribuirlo a docentes y estudiantes</t>
  </si>
  <si>
    <t>T18.1</t>
  </si>
  <si>
    <t>Exportación PDF (PDFKit con logo institucional) y Excel (ExcelJS, una hoja por turno) &lt; 3s</t>
  </si>
  <si>
    <t>- El PDF incluye logo institucional, período, fecha de generación y tabla con asignaciones.
- El Excel tiene una hoja por turno.
- Ambos archivos se descargan en menos de 3 segundos.</t>
  </si>
  <si>
    <t>Sprint 4</t>
  </si>
  <si>
    <t>HU19</t>
  </si>
  <si>
    <t>ver un reporte de ocupación de aulas y carga horaria por docente</t>
  </si>
  <si>
    <t>optimizar el uso de recursos</t>
  </si>
  <si>
    <t>T19.1</t>
  </si>
  <si>
    <t>Reporte con porcentaje de ocupación por aula y horas por docente, exportable a PDF</t>
  </si>
  <si>
    <t>- El reporte muestra porcentaje de ocupación por aula y horas asignadas por docente.
- Se puede filtrar por período.
- El reporte es exportable a PDF.</t>
  </si>
  <si>
    <t>Baja</t>
  </si>
  <si>
    <t>HU20</t>
  </si>
  <si>
    <t>que el sistema registre en un log inmutable todas las acciones críticas</t>
  </si>
  <si>
    <t>tener trazabilidad con usuario, fecha y descripción</t>
  </si>
  <si>
    <t>T20.1</t>
  </si>
  <si>
    <t>Log inmutable: generar horario, confirmar matrícula, modificar asignación, crear/editar usuarios</t>
  </si>
  <si>
    <t>- Las acciones críticas quedan registradas con usuario, fecha y descripción.
- El log no puede ser eliminado por ningún rol.
- Es consultable con filtros por fecha y usuario.</t>
  </si>
  <si>
    <t>HU17, HU11, HU14</t>
  </si>
  <si>
    <t>Auditoría</t>
  </si>
  <si>
    <t>TOTAL STORY POINTS</t>
  </si>
  <si>
    <t>Planificación de Sprints — SGOHA</t>
  </si>
  <si>
    <t>Inicio</t>
  </si>
  <si>
    <t>Días</t>
  </si>
  <si>
    <t>Final</t>
  </si>
  <si>
    <t>Pts</t>
  </si>
  <si>
    <t>Fecha Liberación</t>
  </si>
  <si>
    <t>Meta / Sprint Goal</t>
  </si>
  <si>
    <t>13/04/2025</t>
  </si>
  <si>
    <t>26/04/2025</t>
  </si>
  <si>
    <t>Planeado</t>
  </si>
  <si>
    <t>Infraestructura base funcional: repositorio configurado, autenticación JWT operativa, CRUD de entidades académicas y primera versión del Walking Skeleton desplegada.</t>
  </si>
  <si>
    <t>27/04/2025</t>
  </si>
  <si>
    <t>10/05/2025</t>
  </si>
  <si>
    <t>Módulo de matrícula con validaciones académicas y primera versión del motor CSP generando horarios sin conflictos para instancias pequeñas.</t>
  </si>
  <si>
    <t>11/05/2025</t>
  </si>
  <si>
    <t>07/06/2025</t>
  </si>
  <si>
    <t>Visualización interactiva del horario en calendario semanal, ajuste manual de asignaciones con revalidación CSP y detección de conflictos en tiempo real.</t>
  </si>
  <si>
    <t>08/06/2025</t>
  </si>
  <si>
    <t>29/06/2025</t>
  </si>
  <si>
    <t>Exportación de reportes, auditoría completa, pruebas finales con cobertura ≥70% y sistema desplegado y documentado para entrega.</t>
  </si>
  <si>
    <t>TOTAL</t>
  </si>
  <si>
    <t>12 semanas · 4 Sprints · Ciclo 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</si>
</sst>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3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DCE1"/>
      </patternFill>
    </fill>
    <fill>
      <patternFill patternType="solid">
        <fgColor rgb="FFF2F2F2"/>
      </patternFill>
    </fill>
    <fill>
      <patternFill patternType="solid">
        <fgColor rgb="FF2E5DA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7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70" zoomScaleNormal="70" workbookViewId="0">
      <pane xSplit="1" ySplit="6" topLeftCell="B7" activePane="bottomRight" state="frozen"/>
      <selection pane="topRight"/>
      <selection pane="bottomLeft"/>
      <selection pane="bottomRight" activeCell="B1" sqref="B1:M1"/>
    </sheetView>
  </sheetViews>
  <sheetFormatPr baseColWidth="10" defaultColWidth="8.88671875" defaultRowHeight="14.4" x14ac:dyDescent="0.3"/>
  <cols>
    <col min="1" max="1" width="6" customWidth="1"/>
    <col min="2" max="2" width="21.21875" customWidth="1"/>
    <col min="3" max="3" width="16" customWidth="1"/>
    <col min="4" max="5" width="32" customWidth="1"/>
    <col min="6" max="6" width="8" customWidth="1"/>
    <col min="7" max="7" width="40" customWidth="1"/>
    <col min="8" max="8" width="45" customWidth="1"/>
    <col min="9" max="9" width="10" customWidth="1"/>
    <col min="10" max="10" width="12" customWidth="1"/>
    <col min="11" max="11" width="22" customWidth="1"/>
    <col min="12" max="12" width="10" customWidth="1"/>
    <col min="13" max="13" width="12" customWidth="1"/>
    <col min="14" max="14" width="30" customWidth="1"/>
  </cols>
  <sheetData>
    <row r="1" spans="1:14" ht="30" customHeight="1" x14ac:dyDescent="0.3">
      <c r="A1" s="36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7"/>
      <c r="N1" s="1" t="s">
        <v>1</v>
      </c>
    </row>
    <row r="2" spans="1:14" ht="19.95" customHeight="1" x14ac:dyDescent="0.3">
      <c r="A2" s="36"/>
      <c r="B2" s="2" t="s">
        <v>2</v>
      </c>
      <c r="C2" s="28" t="s">
        <v>3</v>
      </c>
      <c r="D2" s="29"/>
      <c r="E2" s="29"/>
      <c r="F2" s="29"/>
      <c r="N2" s="3" t="s">
        <v>4</v>
      </c>
    </row>
    <row r="3" spans="1:14" ht="19.95" customHeight="1" x14ac:dyDescent="0.3">
      <c r="A3" s="36"/>
      <c r="B3" s="2" t="s">
        <v>5</v>
      </c>
      <c r="C3" s="28" t="s">
        <v>6</v>
      </c>
      <c r="D3" s="29"/>
      <c r="E3" s="29"/>
      <c r="F3" s="29"/>
      <c r="N3" s="4" t="s">
        <v>7</v>
      </c>
    </row>
    <row r="4" spans="1:14" ht="19.95" customHeight="1" x14ac:dyDescent="0.3">
      <c r="A4" s="36"/>
      <c r="B4" s="2" t="s">
        <v>8</v>
      </c>
      <c r="C4" s="28" t="s">
        <v>189</v>
      </c>
      <c r="D4" s="29"/>
      <c r="E4" s="29"/>
      <c r="F4" s="29"/>
    </row>
    <row r="5" spans="1:14" ht="18" customHeight="1" x14ac:dyDescent="0.3">
      <c r="B5" s="30" t="s">
        <v>9</v>
      </c>
      <c r="C5" s="29"/>
      <c r="D5" s="29"/>
      <c r="E5" s="29"/>
      <c r="F5" s="30" t="s">
        <v>10</v>
      </c>
      <c r="G5" s="29"/>
      <c r="H5" s="30" t="s">
        <v>11</v>
      </c>
      <c r="I5" s="29"/>
      <c r="J5" s="29"/>
      <c r="K5" s="29"/>
      <c r="L5" s="29"/>
      <c r="M5" s="29"/>
      <c r="N5" s="29"/>
    </row>
    <row r="6" spans="1:14" ht="36" customHeight="1" x14ac:dyDescent="0.3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24</v>
      </c>
      <c r="N6" s="5" t="s">
        <v>25</v>
      </c>
    </row>
    <row r="7" spans="1:14" ht="72" customHeight="1" x14ac:dyDescent="0.3">
      <c r="A7" s="6">
        <v>1</v>
      </c>
      <c r="B7" s="6" t="s">
        <v>26</v>
      </c>
      <c r="C7" s="6" t="s">
        <v>27</v>
      </c>
      <c r="D7" s="34" t="s">
        <v>28</v>
      </c>
      <c r="E7" s="34" t="s">
        <v>29</v>
      </c>
      <c r="F7" s="6" t="s">
        <v>30</v>
      </c>
      <c r="G7" s="34" t="s">
        <v>31</v>
      </c>
      <c r="H7" s="34" t="s">
        <v>32</v>
      </c>
      <c r="I7" s="7" t="s">
        <v>33</v>
      </c>
      <c r="J7" s="6">
        <v>5</v>
      </c>
      <c r="K7" s="6" t="s">
        <v>34</v>
      </c>
      <c r="L7" s="8" t="s">
        <v>35</v>
      </c>
      <c r="M7" s="9" t="s">
        <v>1</v>
      </c>
      <c r="N7" s="34" t="s">
        <v>36</v>
      </c>
    </row>
    <row r="8" spans="1:14" ht="72" customHeight="1" x14ac:dyDescent="0.3">
      <c r="A8" s="10">
        <v>2</v>
      </c>
      <c r="B8" s="10" t="s">
        <v>37</v>
      </c>
      <c r="C8" s="10" t="s">
        <v>38</v>
      </c>
      <c r="D8" s="35" t="s">
        <v>39</v>
      </c>
      <c r="E8" s="35" t="s">
        <v>40</v>
      </c>
      <c r="F8" s="10" t="s">
        <v>41</v>
      </c>
      <c r="G8" s="35" t="s">
        <v>42</v>
      </c>
      <c r="H8" s="35" t="s">
        <v>43</v>
      </c>
      <c r="I8" s="7" t="s">
        <v>33</v>
      </c>
      <c r="J8" s="10">
        <v>5</v>
      </c>
      <c r="K8" s="10" t="s">
        <v>26</v>
      </c>
      <c r="L8" s="8" t="s">
        <v>35</v>
      </c>
      <c r="M8" s="9" t="s">
        <v>1</v>
      </c>
      <c r="N8" s="35" t="s">
        <v>44</v>
      </c>
    </row>
    <row r="9" spans="1:14" ht="72" customHeight="1" x14ac:dyDescent="0.3">
      <c r="A9" s="6">
        <v>3</v>
      </c>
      <c r="B9" s="6" t="s">
        <v>45</v>
      </c>
      <c r="C9" s="6" t="s">
        <v>27</v>
      </c>
      <c r="D9" s="34" t="s">
        <v>46</v>
      </c>
      <c r="E9" s="34" t="s">
        <v>47</v>
      </c>
      <c r="F9" s="6" t="s">
        <v>48</v>
      </c>
      <c r="G9" s="34" t="s">
        <v>49</v>
      </c>
      <c r="H9" s="34" t="s">
        <v>50</v>
      </c>
      <c r="I9" s="11" t="s">
        <v>51</v>
      </c>
      <c r="J9" s="6">
        <v>3</v>
      </c>
      <c r="K9" s="6" t="s">
        <v>26</v>
      </c>
      <c r="L9" s="8" t="s">
        <v>35</v>
      </c>
      <c r="M9" s="9" t="s">
        <v>1</v>
      </c>
      <c r="N9" s="34"/>
    </row>
    <row r="10" spans="1:14" ht="72" customHeight="1" x14ac:dyDescent="0.3">
      <c r="A10" s="10">
        <v>4</v>
      </c>
      <c r="B10" s="10" t="s">
        <v>52</v>
      </c>
      <c r="C10" s="10" t="s">
        <v>27</v>
      </c>
      <c r="D10" s="35" t="s">
        <v>53</v>
      </c>
      <c r="E10" s="35" t="s">
        <v>54</v>
      </c>
      <c r="F10" s="10" t="s">
        <v>55</v>
      </c>
      <c r="G10" s="35" t="s">
        <v>56</v>
      </c>
      <c r="H10" s="35" t="s">
        <v>57</v>
      </c>
      <c r="I10" s="7" t="s">
        <v>33</v>
      </c>
      <c r="J10" s="10">
        <v>5</v>
      </c>
      <c r="K10" s="10" t="s">
        <v>26</v>
      </c>
      <c r="L10" s="8" t="s">
        <v>35</v>
      </c>
      <c r="M10" s="9" t="s">
        <v>1</v>
      </c>
      <c r="N10" s="35" t="s">
        <v>58</v>
      </c>
    </row>
    <row r="11" spans="1:14" ht="72" customHeight="1" x14ac:dyDescent="0.3">
      <c r="A11" s="6">
        <v>5</v>
      </c>
      <c r="B11" s="6" t="s">
        <v>59</v>
      </c>
      <c r="C11" s="6" t="s">
        <v>27</v>
      </c>
      <c r="D11" s="34" t="s">
        <v>60</v>
      </c>
      <c r="E11" s="34" t="s">
        <v>61</v>
      </c>
      <c r="F11" s="6" t="s">
        <v>62</v>
      </c>
      <c r="G11" s="34" t="s">
        <v>63</v>
      </c>
      <c r="H11" s="34" t="s">
        <v>64</v>
      </c>
      <c r="I11" s="7" t="s">
        <v>33</v>
      </c>
      <c r="J11" s="6">
        <v>3</v>
      </c>
      <c r="K11" s="6" t="s">
        <v>26</v>
      </c>
      <c r="L11" s="8" t="s">
        <v>35</v>
      </c>
      <c r="M11" s="9" t="s">
        <v>1</v>
      </c>
      <c r="N11" s="34"/>
    </row>
    <row r="12" spans="1:14" ht="72" customHeight="1" x14ac:dyDescent="0.3">
      <c r="A12" s="10">
        <v>6</v>
      </c>
      <c r="B12" s="10" t="s">
        <v>65</v>
      </c>
      <c r="C12" s="10" t="s">
        <v>27</v>
      </c>
      <c r="D12" s="35" t="s">
        <v>66</v>
      </c>
      <c r="E12" s="35" t="s">
        <v>67</v>
      </c>
      <c r="F12" s="10" t="s">
        <v>68</v>
      </c>
      <c r="G12" s="35" t="s">
        <v>69</v>
      </c>
      <c r="H12" s="35" t="s">
        <v>70</v>
      </c>
      <c r="I12" s="7" t="s">
        <v>33</v>
      </c>
      <c r="J12" s="10">
        <v>3</v>
      </c>
      <c r="K12" s="10" t="s">
        <v>26</v>
      </c>
      <c r="L12" s="8" t="s">
        <v>35</v>
      </c>
      <c r="M12" s="9" t="s">
        <v>1</v>
      </c>
      <c r="N12" s="35"/>
    </row>
    <row r="13" spans="1:14" ht="72" customHeight="1" x14ac:dyDescent="0.3">
      <c r="A13" s="6">
        <v>7</v>
      </c>
      <c r="B13" s="6" t="s">
        <v>71</v>
      </c>
      <c r="C13" s="6" t="s">
        <v>72</v>
      </c>
      <c r="D13" s="34" t="s">
        <v>73</v>
      </c>
      <c r="E13" s="34" t="s">
        <v>74</v>
      </c>
      <c r="F13" s="6" t="s">
        <v>75</v>
      </c>
      <c r="G13" s="34" t="s">
        <v>76</v>
      </c>
      <c r="H13" s="34" t="s">
        <v>77</v>
      </c>
      <c r="I13" s="7" t="s">
        <v>33</v>
      </c>
      <c r="J13" s="6">
        <v>5</v>
      </c>
      <c r="K13" s="6" t="s">
        <v>26</v>
      </c>
      <c r="L13" s="12" t="s">
        <v>78</v>
      </c>
      <c r="M13" s="9" t="s">
        <v>1</v>
      </c>
      <c r="N13" s="34"/>
    </row>
    <row r="14" spans="1:14" ht="72" customHeight="1" x14ac:dyDescent="0.3">
      <c r="A14" s="10">
        <v>8</v>
      </c>
      <c r="B14" s="10" t="s">
        <v>79</v>
      </c>
      <c r="C14" s="10" t="s">
        <v>80</v>
      </c>
      <c r="D14" s="35" t="s">
        <v>81</v>
      </c>
      <c r="E14" s="35" t="s">
        <v>82</v>
      </c>
      <c r="F14" s="10" t="s">
        <v>83</v>
      </c>
      <c r="G14" s="35" t="s">
        <v>84</v>
      </c>
      <c r="H14" s="35" t="s">
        <v>85</v>
      </c>
      <c r="I14" s="7" t="s">
        <v>33</v>
      </c>
      <c r="J14" s="10">
        <v>3</v>
      </c>
      <c r="K14" s="10" t="s">
        <v>65</v>
      </c>
      <c r="L14" s="12" t="s">
        <v>78</v>
      </c>
      <c r="M14" s="9" t="s">
        <v>1</v>
      </c>
      <c r="N14" s="35"/>
    </row>
    <row r="15" spans="1:14" ht="72" customHeight="1" x14ac:dyDescent="0.3">
      <c r="A15" s="6">
        <v>9</v>
      </c>
      <c r="B15" s="6" t="s">
        <v>86</v>
      </c>
      <c r="C15" s="6" t="s">
        <v>80</v>
      </c>
      <c r="D15" s="34" t="s">
        <v>87</v>
      </c>
      <c r="E15" s="34" t="s">
        <v>88</v>
      </c>
      <c r="F15" s="6" t="s">
        <v>89</v>
      </c>
      <c r="G15" s="34" t="s">
        <v>90</v>
      </c>
      <c r="H15" s="34" t="s">
        <v>91</v>
      </c>
      <c r="I15" s="7" t="s">
        <v>33</v>
      </c>
      <c r="J15" s="6">
        <v>8</v>
      </c>
      <c r="K15" s="6" t="s">
        <v>79</v>
      </c>
      <c r="L15" s="12" t="s">
        <v>78</v>
      </c>
      <c r="M15" s="9" t="s">
        <v>1</v>
      </c>
      <c r="N15" s="34"/>
    </row>
    <row r="16" spans="1:14" ht="72" customHeight="1" x14ac:dyDescent="0.3">
      <c r="A16" s="10">
        <v>10</v>
      </c>
      <c r="B16" s="10" t="s">
        <v>92</v>
      </c>
      <c r="C16" s="10" t="s">
        <v>80</v>
      </c>
      <c r="D16" s="35" t="s">
        <v>93</v>
      </c>
      <c r="E16" s="35" t="s">
        <v>94</v>
      </c>
      <c r="F16" s="10" t="s">
        <v>95</v>
      </c>
      <c r="G16" s="35" t="s">
        <v>96</v>
      </c>
      <c r="H16" s="35" t="s">
        <v>97</v>
      </c>
      <c r="I16" s="7" t="s">
        <v>33</v>
      </c>
      <c r="J16" s="10">
        <v>5</v>
      </c>
      <c r="K16" s="10" t="s">
        <v>86</v>
      </c>
      <c r="L16" s="12" t="s">
        <v>78</v>
      </c>
      <c r="M16" s="9" t="s">
        <v>1</v>
      </c>
      <c r="N16" s="35"/>
    </row>
    <row r="17" spans="1:14" ht="72" customHeight="1" x14ac:dyDescent="0.3">
      <c r="A17" s="6">
        <v>11</v>
      </c>
      <c r="B17" s="6" t="s">
        <v>98</v>
      </c>
      <c r="C17" s="6" t="s">
        <v>99</v>
      </c>
      <c r="D17" s="34" t="s">
        <v>100</v>
      </c>
      <c r="E17" s="34" t="s">
        <v>101</v>
      </c>
      <c r="F17" s="6" t="s">
        <v>102</v>
      </c>
      <c r="G17" s="34" t="s">
        <v>103</v>
      </c>
      <c r="H17" s="34" t="s">
        <v>104</v>
      </c>
      <c r="I17" s="7" t="s">
        <v>33</v>
      </c>
      <c r="J17" s="6">
        <v>8</v>
      </c>
      <c r="K17" s="6" t="s">
        <v>71</v>
      </c>
      <c r="L17" s="12" t="s">
        <v>78</v>
      </c>
      <c r="M17" s="9" t="s">
        <v>1</v>
      </c>
      <c r="N17" s="34" t="s">
        <v>105</v>
      </c>
    </row>
    <row r="18" spans="1:14" ht="72" customHeight="1" x14ac:dyDescent="0.3">
      <c r="A18" s="10">
        <v>12</v>
      </c>
      <c r="B18" s="10" t="s">
        <v>106</v>
      </c>
      <c r="C18" s="10" t="s">
        <v>80</v>
      </c>
      <c r="D18" s="35" t="s">
        <v>107</v>
      </c>
      <c r="E18" s="35" t="s">
        <v>108</v>
      </c>
      <c r="F18" s="10" t="s">
        <v>109</v>
      </c>
      <c r="G18" s="35" t="s">
        <v>110</v>
      </c>
      <c r="H18" s="35" t="s">
        <v>111</v>
      </c>
      <c r="I18" s="11" t="s">
        <v>51</v>
      </c>
      <c r="J18" s="10">
        <v>5</v>
      </c>
      <c r="K18" s="10" t="s">
        <v>92</v>
      </c>
      <c r="L18" s="11" t="s">
        <v>112</v>
      </c>
      <c r="M18" s="9" t="s">
        <v>1</v>
      </c>
      <c r="N18" s="35"/>
    </row>
    <row r="19" spans="1:14" ht="72" customHeight="1" x14ac:dyDescent="0.3">
      <c r="A19" s="6">
        <v>13</v>
      </c>
      <c r="B19" s="6" t="s">
        <v>113</v>
      </c>
      <c r="C19" s="6" t="s">
        <v>99</v>
      </c>
      <c r="D19" s="34" t="s">
        <v>114</v>
      </c>
      <c r="E19" s="34" t="s">
        <v>115</v>
      </c>
      <c r="F19" s="6" t="s">
        <v>116</v>
      </c>
      <c r="G19" s="34" t="s">
        <v>117</v>
      </c>
      <c r="H19" s="34" t="s">
        <v>118</v>
      </c>
      <c r="I19" s="7" t="s">
        <v>33</v>
      </c>
      <c r="J19" s="6">
        <v>8</v>
      </c>
      <c r="K19" s="6" t="s">
        <v>98</v>
      </c>
      <c r="L19" s="11" t="s">
        <v>112</v>
      </c>
      <c r="M19" s="9" t="s">
        <v>1</v>
      </c>
      <c r="N19" s="34"/>
    </row>
    <row r="20" spans="1:14" ht="72" customHeight="1" x14ac:dyDescent="0.3">
      <c r="A20" s="10">
        <v>14</v>
      </c>
      <c r="B20" s="10" t="s">
        <v>119</v>
      </c>
      <c r="C20" s="10" t="s">
        <v>99</v>
      </c>
      <c r="D20" s="35" t="s">
        <v>120</v>
      </c>
      <c r="E20" s="35" t="s">
        <v>121</v>
      </c>
      <c r="F20" s="10" t="s">
        <v>122</v>
      </c>
      <c r="G20" s="35" t="s">
        <v>123</v>
      </c>
      <c r="H20" s="35" t="s">
        <v>124</v>
      </c>
      <c r="I20" s="11" t="s">
        <v>51</v>
      </c>
      <c r="J20" s="10">
        <v>8</v>
      </c>
      <c r="K20" s="10" t="s">
        <v>113</v>
      </c>
      <c r="L20" s="11" t="s">
        <v>112</v>
      </c>
      <c r="M20" s="9" t="s">
        <v>1</v>
      </c>
      <c r="N20" s="35"/>
    </row>
    <row r="21" spans="1:14" ht="72" customHeight="1" x14ac:dyDescent="0.3">
      <c r="A21" s="6">
        <v>15</v>
      </c>
      <c r="B21" s="6" t="s">
        <v>125</v>
      </c>
      <c r="C21" s="6" t="s">
        <v>99</v>
      </c>
      <c r="D21" s="34" t="s">
        <v>126</v>
      </c>
      <c r="E21" s="34" t="s">
        <v>127</v>
      </c>
      <c r="F21" s="6" t="s">
        <v>128</v>
      </c>
      <c r="G21" s="34" t="s">
        <v>129</v>
      </c>
      <c r="H21" s="34" t="s">
        <v>130</v>
      </c>
      <c r="I21" s="11" t="s">
        <v>51</v>
      </c>
      <c r="J21" s="6">
        <v>5</v>
      </c>
      <c r="K21" s="6" t="s">
        <v>98</v>
      </c>
      <c r="L21" s="11" t="s">
        <v>112</v>
      </c>
      <c r="M21" s="9" t="s">
        <v>1</v>
      </c>
      <c r="N21" s="34"/>
    </row>
    <row r="22" spans="1:14" ht="72" customHeight="1" x14ac:dyDescent="0.3">
      <c r="A22" s="10">
        <v>16</v>
      </c>
      <c r="B22" s="10" t="s">
        <v>131</v>
      </c>
      <c r="C22" s="10" t="s">
        <v>132</v>
      </c>
      <c r="D22" s="35" t="s">
        <v>133</v>
      </c>
      <c r="E22" s="35" t="s">
        <v>134</v>
      </c>
      <c r="F22" s="10" t="s">
        <v>135</v>
      </c>
      <c r="G22" s="35" t="s">
        <v>136</v>
      </c>
      <c r="H22" s="35" t="s">
        <v>137</v>
      </c>
      <c r="I22" s="7" t="s">
        <v>33</v>
      </c>
      <c r="J22" s="10">
        <v>8</v>
      </c>
      <c r="K22" s="10" t="s">
        <v>98</v>
      </c>
      <c r="L22" s="11" t="s">
        <v>112</v>
      </c>
      <c r="M22" s="9" t="s">
        <v>1</v>
      </c>
      <c r="N22" s="35" t="s">
        <v>138</v>
      </c>
    </row>
    <row r="23" spans="1:14" ht="72" customHeight="1" x14ac:dyDescent="0.3">
      <c r="A23" s="6">
        <v>17</v>
      </c>
      <c r="B23" s="6" t="s">
        <v>139</v>
      </c>
      <c r="C23" s="6" t="s">
        <v>99</v>
      </c>
      <c r="D23" s="34" t="s">
        <v>140</v>
      </c>
      <c r="E23" s="34" t="s">
        <v>141</v>
      </c>
      <c r="F23" s="6" t="s">
        <v>142</v>
      </c>
      <c r="G23" s="34" t="s">
        <v>143</v>
      </c>
      <c r="H23" s="34" t="s">
        <v>144</v>
      </c>
      <c r="I23" s="11" t="s">
        <v>51</v>
      </c>
      <c r="J23" s="6">
        <v>5</v>
      </c>
      <c r="K23" s="6" t="s">
        <v>131</v>
      </c>
      <c r="L23" s="11" t="s">
        <v>112</v>
      </c>
      <c r="M23" s="9" t="s">
        <v>1</v>
      </c>
      <c r="N23" s="34"/>
    </row>
    <row r="24" spans="1:14" ht="72" customHeight="1" x14ac:dyDescent="0.3">
      <c r="A24" s="10">
        <v>18</v>
      </c>
      <c r="B24" s="10" t="s">
        <v>145</v>
      </c>
      <c r="C24" s="10" t="s">
        <v>99</v>
      </c>
      <c r="D24" s="35" t="s">
        <v>146</v>
      </c>
      <c r="E24" s="35" t="s">
        <v>147</v>
      </c>
      <c r="F24" s="10" t="s">
        <v>148</v>
      </c>
      <c r="G24" s="35" t="s">
        <v>149</v>
      </c>
      <c r="H24" s="35" t="s">
        <v>150</v>
      </c>
      <c r="I24" s="11" t="s">
        <v>51</v>
      </c>
      <c r="J24" s="10">
        <v>5</v>
      </c>
      <c r="K24" s="10" t="s">
        <v>131</v>
      </c>
      <c r="L24" s="7" t="s">
        <v>151</v>
      </c>
      <c r="M24" s="9" t="s">
        <v>1</v>
      </c>
      <c r="N24" s="35"/>
    </row>
    <row r="25" spans="1:14" ht="72" customHeight="1" x14ac:dyDescent="0.3">
      <c r="A25" s="6">
        <v>19</v>
      </c>
      <c r="B25" s="6" t="s">
        <v>152</v>
      </c>
      <c r="C25" s="6" t="s">
        <v>27</v>
      </c>
      <c r="D25" s="34" t="s">
        <v>153</v>
      </c>
      <c r="E25" s="34" t="s">
        <v>154</v>
      </c>
      <c r="F25" s="6" t="s">
        <v>155</v>
      </c>
      <c r="G25" s="34" t="s">
        <v>156</v>
      </c>
      <c r="H25" s="34" t="s">
        <v>157</v>
      </c>
      <c r="I25" s="12" t="s">
        <v>158</v>
      </c>
      <c r="J25" s="6">
        <v>5</v>
      </c>
      <c r="K25" s="6" t="s">
        <v>145</v>
      </c>
      <c r="L25" s="7" t="s">
        <v>151</v>
      </c>
      <c r="M25" s="9" t="s">
        <v>1</v>
      </c>
      <c r="N25" s="34"/>
    </row>
    <row r="26" spans="1:14" ht="72" customHeight="1" x14ac:dyDescent="0.3">
      <c r="A26" s="10">
        <v>20</v>
      </c>
      <c r="B26" s="10" t="s">
        <v>159</v>
      </c>
      <c r="C26" s="10" t="s">
        <v>27</v>
      </c>
      <c r="D26" s="35" t="s">
        <v>160</v>
      </c>
      <c r="E26" s="35" t="s">
        <v>161</v>
      </c>
      <c r="F26" s="10" t="s">
        <v>162</v>
      </c>
      <c r="G26" s="35" t="s">
        <v>163</v>
      </c>
      <c r="H26" s="35" t="s">
        <v>164</v>
      </c>
      <c r="I26" s="11" t="s">
        <v>51</v>
      </c>
      <c r="J26" s="10">
        <v>5</v>
      </c>
      <c r="K26" s="10" t="s">
        <v>165</v>
      </c>
      <c r="L26" s="7" t="s">
        <v>151</v>
      </c>
      <c r="M26" s="9" t="s">
        <v>1</v>
      </c>
      <c r="N26" s="35" t="s">
        <v>166</v>
      </c>
    </row>
    <row r="27" spans="1:14" x14ac:dyDescent="0.3">
      <c r="B27" s="31" t="s">
        <v>167</v>
      </c>
      <c r="C27" s="29"/>
      <c r="D27" s="29"/>
      <c r="E27" s="29"/>
      <c r="F27" s="29"/>
      <c r="G27" s="29"/>
      <c r="H27" s="29"/>
      <c r="I27" s="29"/>
      <c r="J27" s="13">
        <f>SUM(J7:J26)</f>
        <v>107</v>
      </c>
      <c r="K27" s="14"/>
      <c r="L27" s="14"/>
      <c r="M27" s="14"/>
      <c r="N27" s="14"/>
    </row>
  </sheetData>
  <mergeCells count="8">
    <mergeCell ref="B1:M1"/>
    <mergeCell ref="C2:F2"/>
    <mergeCell ref="C4:F4"/>
    <mergeCell ref="C3:F3"/>
    <mergeCell ref="B5:E5"/>
    <mergeCell ref="B27:I27"/>
    <mergeCell ref="F5:G5"/>
    <mergeCell ref="H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2" customWidth="1"/>
    <col min="3" max="4" width="16" customWidth="1"/>
    <col min="5" max="5" width="10" customWidth="1"/>
    <col min="6" max="6" width="18" customWidth="1"/>
    <col min="7" max="7" width="16" customWidth="1"/>
    <col min="8" max="8" width="45" customWidth="1"/>
  </cols>
  <sheetData>
    <row r="1" spans="1:8" ht="28.05" customHeight="1" x14ac:dyDescent="0.3">
      <c r="A1" s="33" t="s">
        <v>168</v>
      </c>
      <c r="B1" s="29"/>
      <c r="C1" s="29"/>
      <c r="D1" s="29"/>
      <c r="E1" s="29"/>
      <c r="F1" s="29"/>
      <c r="G1" s="29"/>
      <c r="H1" s="29"/>
    </row>
    <row r="2" spans="1:8" ht="30" customHeight="1" x14ac:dyDescent="0.3">
      <c r="A2" s="15" t="s">
        <v>23</v>
      </c>
      <c r="B2" s="15" t="s">
        <v>169</v>
      </c>
      <c r="C2" s="15" t="s">
        <v>170</v>
      </c>
      <c r="D2" s="15" t="s">
        <v>171</v>
      </c>
      <c r="E2" s="15" t="s">
        <v>172</v>
      </c>
      <c r="F2" s="15" t="s">
        <v>24</v>
      </c>
      <c r="G2" s="15" t="s">
        <v>173</v>
      </c>
      <c r="H2" s="15" t="s">
        <v>174</v>
      </c>
    </row>
    <row r="3" spans="1:8" ht="48" customHeight="1" x14ac:dyDescent="0.3">
      <c r="A3" s="16">
        <v>1</v>
      </c>
      <c r="B3" s="17" t="s">
        <v>175</v>
      </c>
      <c r="C3" s="16">
        <v>14</v>
      </c>
      <c r="D3" s="17" t="s">
        <v>176</v>
      </c>
      <c r="E3" s="16">
        <v>24</v>
      </c>
      <c r="F3" s="16" t="s">
        <v>177</v>
      </c>
      <c r="G3" s="16" t="s">
        <v>176</v>
      </c>
      <c r="H3" s="18" t="s">
        <v>178</v>
      </c>
    </row>
    <row r="4" spans="1:8" ht="48" customHeight="1" x14ac:dyDescent="0.3">
      <c r="A4" s="19">
        <v>2</v>
      </c>
      <c r="B4" s="20" t="s">
        <v>179</v>
      </c>
      <c r="C4" s="19">
        <v>14</v>
      </c>
      <c r="D4" s="20" t="s">
        <v>180</v>
      </c>
      <c r="E4" s="19">
        <v>29</v>
      </c>
      <c r="F4" s="19" t="s">
        <v>177</v>
      </c>
      <c r="G4" s="19" t="s">
        <v>180</v>
      </c>
      <c r="H4" s="21" t="s">
        <v>181</v>
      </c>
    </row>
    <row r="5" spans="1:8" ht="48" customHeight="1" x14ac:dyDescent="0.3">
      <c r="A5" s="22">
        <v>3</v>
      </c>
      <c r="B5" s="23" t="s">
        <v>182</v>
      </c>
      <c r="C5" s="22">
        <v>28</v>
      </c>
      <c r="D5" s="23" t="s">
        <v>183</v>
      </c>
      <c r="E5" s="22">
        <v>36</v>
      </c>
      <c r="F5" s="22" t="s">
        <v>177</v>
      </c>
      <c r="G5" s="22" t="s">
        <v>183</v>
      </c>
      <c r="H5" s="24" t="s">
        <v>184</v>
      </c>
    </row>
    <row r="6" spans="1:8" ht="48" customHeight="1" x14ac:dyDescent="0.3">
      <c r="A6" s="25">
        <v>4</v>
      </c>
      <c r="B6" s="26" t="s">
        <v>185</v>
      </c>
      <c r="C6" s="25">
        <v>22</v>
      </c>
      <c r="D6" s="26" t="s">
        <v>186</v>
      </c>
      <c r="E6" s="25">
        <v>15</v>
      </c>
      <c r="F6" s="25" t="s">
        <v>177</v>
      </c>
      <c r="G6" s="25" t="s">
        <v>186</v>
      </c>
      <c r="H6" s="27" t="s">
        <v>187</v>
      </c>
    </row>
    <row r="7" spans="1:8" x14ac:dyDescent="0.3">
      <c r="A7" s="31" t="s">
        <v>188</v>
      </c>
      <c r="B7" s="29"/>
      <c r="C7" s="29"/>
      <c r="D7" s="29"/>
      <c r="E7" s="13">
        <f>SUM(E3:E6)</f>
        <v>104</v>
      </c>
      <c r="F7" s="14"/>
      <c r="G7" s="14"/>
      <c r="H7" s="14"/>
    </row>
  </sheetData>
  <mergeCells count="2">
    <mergeCell ref="A7:D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 del Producto</vt:lpstr>
      <vt:lpstr>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Bryams Ulises Vilchez Lazaro</cp:lastModifiedBy>
  <dcterms:created xsi:type="dcterms:W3CDTF">2026-05-03T16:30:13Z</dcterms:created>
  <dcterms:modified xsi:type="dcterms:W3CDTF">2026-05-03T16:42:41Z</dcterms:modified>
</cp:coreProperties>
</file>