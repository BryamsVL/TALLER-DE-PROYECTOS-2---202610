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upi\Downloads\"/>
    </mc:Choice>
  </mc:AlternateContent>
  <xr:revisionPtr revIDLastSave="0" documentId="8_{C4E007EF-FE8B-469C-BBE1-44D2475DC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</sheets>
  <definedNames>
    <definedName name="DoneDays" localSheetId="0">'Sprint 1'!$F$8</definedName>
    <definedName name="DoneDays">#REF!</definedName>
    <definedName name="ImplementationDays" localSheetId="0">'Sprint 1'!$D$6</definedName>
    <definedName name="ImplementationDays">#REF!</definedName>
    <definedName name="ProductBacklog">#REF!</definedName>
    <definedName name="Sprint">#REF!</definedName>
    <definedName name="SprintCount">#REF!</definedName>
    <definedName name="SprintsInTrend">#REF!</definedName>
    <definedName name="SprintTasks" localSheetId="0">'Sprint 1'!$C$11:$AF$41</definedName>
    <definedName name="SprintTasks">#REF!</definedName>
    <definedName name="Status">#REF!</definedName>
    <definedName name="StoryName">#REF!</definedName>
    <definedName name="TaskRows" localSheetId="0">'Sprint 1'!$D$8</definedName>
    <definedName name="TaskRows">#REF!</definedName>
    <definedName name="TaskStatus" localSheetId="0">'Sprint 1'!$F$11:$F$41</definedName>
    <definedName name="TaskStatus">#REF!</definedName>
    <definedName name="TaskStoryID" localSheetId="0">'Sprint 1'!$D$11:$D$41</definedName>
    <definedName name="TaskStoryID">#REF!</definedName>
    <definedName name="TotalEffort" localSheetId="0">'Sprint 1'!$G$7</definedName>
    <definedName name="TotalEffort">#REF!</definedName>
    <definedName name="TrendDays" localSheetId="0">'Sprint 1'!$F$10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W8" i="1"/>
  <c r="V11" i="1"/>
  <c r="W11" i="1"/>
  <c r="X11" i="1" s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I11" i="1"/>
  <c r="D8" i="1"/>
  <c r="V7" i="1" s="1"/>
  <c r="X8" i="1" l="1"/>
  <c r="Y11" i="1"/>
  <c r="AD7" i="1"/>
  <c r="AC7" i="1"/>
  <c r="AB7" i="1"/>
  <c r="AA7" i="1"/>
  <c r="Z7" i="1"/>
  <c r="Y7" i="1"/>
  <c r="X7" i="1"/>
  <c r="W7" i="1"/>
  <c r="G7" i="1"/>
  <c r="H8" i="1" s="1"/>
  <c r="J11" i="1"/>
  <c r="Y8" i="1" l="1"/>
  <c r="Z11" i="1"/>
  <c r="I8" i="1"/>
  <c r="J8" i="1"/>
  <c r="K11" i="1"/>
  <c r="AA11" i="1" l="1"/>
  <c r="Z8" i="1"/>
  <c r="K8" i="1"/>
  <c r="L11" i="1"/>
  <c r="AB11" i="1" l="1"/>
  <c r="AA8" i="1"/>
  <c r="M11" i="1"/>
  <c r="L8" i="1"/>
  <c r="AC11" i="1" l="1"/>
  <c r="AB8" i="1"/>
  <c r="N11" i="1"/>
  <c r="M8" i="1"/>
  <c r="AD11" i="1" l="1"/>
  <c r="AC8" i="1"/>
  <c r="O11" i="1"/>
  <c r="N8" i="1"/>
  <c r="AE11" i="1" l="1"/>
  <c r="AD8" i="1"/>
  <c r="P11" i="1"/>
  <c r="O8" i="1"/>
  <c r="AE15" i="1" l="1"/>
  <c r="AE17" i="1"/>
  <c r="AE16" i="1"/>
  <c r="AF11" i="1"/>
  <c r="AE12" i="1"/>
  <c r="AE8" i="1"/>
  <c r="AE13" i="1"/>
  <c r="AE14" i="1"/>
  <c r="P8" i="1"/>
  <c r="Q11" i="1"/>
  <c r="AF15" i="1" l="1"/>
  <c r="AF16" i="1"/>
  <c r="AF17" i="1"/>
  <c r="AF12" i="1"/>
  <c r="AF8" i="1"/>
  <c r="AF14" i="1"/>
  <c r="AF13" i="1"/>
  <c r="AE7" i="1"/>
  <c r="AE18" i="1"/>
  <c r="AE19" i="1"/>
  <c r="Q8" i="1"/>
  <c r="AF7" i="1" l="1"/>
  <c r="AF18" i="1"/>
  <c r="AF19" i="1"/>
  <c r="R8" i="1"/>
  <c r="S8" i="1" l="1"/>
  <c r="T8" i="1" l="1"/>
  <c r="U8" i="1" l="1"/>
  <c r="AE41" i="1" l="1"/>
  <c r="AE38" i="1"/>
  <c r="AE35" i="1"/>
  <c r="AE32" i="1"/>
  <c r="AE29" i="1"/>
  <c r="AE26" i="1"/>
  <c r="AE23" i="1"/>
  <c r="AE20" i="1"/>
  <c r="AE40" i="1"/>
  <c r="AE37" i="1"/>
  <c r="AE34" i="1"/>
  <c r="AE31" i="1"/>
  <c r="AE28" i="1"/>
  <c r="AE25" i="1"/>
  <c r="AE22" i="1"/>
  <c r="AE39" i="1"/>
  <c r="AE36" i="1"/>
  <c r="AE33" i="1"/>
  <c r="AE30" i="1"/>
  <c r="AE27" i="1"/>
  <c r="AE24" i="1"/>
  <c r="AE21" i="1"/>
  <c r="AF41" i="1" l="1"/>
  <c r="AF38" i="1"/>
  <c r="AF35" i="1"/>
  <c r="AF32" i="1"/>
  <c r="AF29" i="1"/>
  <c r="AF26" i="1"/>
  <c r="AF23" i="1"/>
  <c r="AF20" i="1"/>
  <c r="AF33" i="1"/>
  <c r="AF24" i="1"/>
  <c r="AF37" i="1"/>
  <c r="AF28" i="1"/>
  <c r="AF36" i="1"/>
  <c r="AF27" i="1"/>
  <c r="AF40" i="1"/>
  <c r="AF31" i="1"/>
  <c r="AF22" i="1"/>
  <c r="AF34" i="1"/>
  <c r="AF39" i="1"/>
  <c r="AF30" i="1"/>
  <c r="AF21" i="1"/>
  <c r="AF25" i="1"/>
  <c r="F8" i="1" l="1"/>
  <c r="F10" i="1" l="1"/>
  <c r="X9" i="1" s="1" a="1"/>
  <c r="X9" i="1" s="1"/>
  <c r="H10" i="1"/>
  <c r="K9" i="1" a="1"/>
  <c r="K9" i="1" s="1"/>
  <c r="M9" i="1" a="1"/>
  <c r="M9" i="1" s="1"/>
  <c r="H9" i="1" a="1"/>
  <c r="H9" i="1" s="1"/>
  <c r="N9" i="1" a="1"/>
  <c r="N9" i="1" s="1"/>
  <c r="O9" i="1" a="1"/>
  <c r="O9" i="1" s="1"/>
  <c r="P9" i="1" a="1"/>
  <c r="P9" i="1" s="1"/>
  <c r="T9" i="1" a="1"/>
  <c r="T9" i="1" s="1"/>
  <c r="S9" i="1" a="1"/>
  <c r="S9" i="1" s="1"/>
  <c r="R9" i="1" l="1" a="1"/>
  <c r="R9" i="1" s="1"/>
  <c r="W9" i="1" a="1"/>
  <c r="W9" i="1" s="1"/>
  <c r="AB9" i="1" a="1"/>
  <c r="AB9" i="1" s="1"/>
  <c r="V9" i="1" a="1"/>
  <c r="V9" i="1" s="1"/>
  <c r="AC9" i="1" a="1"/>
  <c r="AC9" i="1" s="1"/>
  <c r="AA9" i="1" a="1"/>
  <c r="AA9" i="1" s="1"/>
  <c r="AF9" i="1" a="1"/>
  <c r="AF9" i="1" s="1"/>
  <c r="Z9" i="1" a="1"/>
  <c r="Z9" i="1" s="1"/>
  <c r="AE9" i="1" a="1"/>
  <c r="AE9" i="1" s="1"/>
  <c r="Y9" i="1" a="1"/>
  <c r="Y9" i="1" s="1"/>
  <c r="AD9" i="1" a="1"/>
  <c r="AD9" i="1" s="1"/>
  <c r="L9" i="1" a="1"/>
  <c r="L9" i="1" s="1"/>
  <c r="I9" i="1" a="1"/>
  <c r="I9" i="1" s="1"/>
  <c r="J9" i="1" a="1"/>
  <c r="J9" i="1" s="1"/>
  <c r="U9" i="1" a="1"/>
  <c r="U9" i="1" s="1"/>
  <c r="Q9" i="1" a="1"/>
  <c r="Q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tc={77da5b36-5557-4a5f-9f37-c41ac8d37b1c}</author>
  </authors>
  <commentList>
    <comment ref="C6" authorId="0" shapeId="0" xr:uid="{77DA5B36-5557-4A5F-9F37-C41AC8D37B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Count only active working and implementation days. Do not include Planning Day or Sprint Review.
E.g. a 4-week Sprint would most likely have 18 implementation days.</t>
      </text>
    </comment>
  </commentList>
</comments>
</file>

<file path=xl/sharedStrings.xml><?xml version="1.0" encoding="utf-8"?>
<sst xmlns="http://schemas.openxmlformats.org/spreadsheetml/2006/main" count="54" uniqueCount="46">
  <si>
    <t>Duración del Sprint</t>
  </si>
  <si>
    <t>Tendencia calculada en los últimos</t>
  </si>
  <si>
    <t>Días</t>
  </si>
  <si>
    <t>Totales</t>
  </si>
  <si>
    <t>Task rows</t>
  </si>
  <si>
    <t>Done days</t>
  </si>
  <si>
    <t>Warning! These are necessary</t>
  </si>
  <si>
    <t>Trend</t>
  </si>
  <si>
    <t>template rows</t>
  </si>
  <si>
    <t>Trend Days</t>
  </si>
  <si>
    <t>ID Tarea</t>
  </si>
  <si>
    <t>Tarea</t>
  </si>
  <si>
    <t>ID Historia</t>
  </si>
  <si>
    <t>Responsable</t>
  </si>
  <si>
    <t>Estado</t>
  </si>
  <si>
    <t>Est.</t>
  </si>
  <si>
    <t>HU01</t>
  </si>
  <si>
    <t>Terminado</t>
  </si>
  <si>
    <t>HU02</t>
  </si>
  <si>
    <t>HU03</t>
  </si>
  <si>
    <t>HU04</t>
  </si>
  <si>
    <t>HU05</t>
  </si>
  <si>
    <t>HU06</t>
  </si>
  <si>
    <t>T1.1</t>
  </si>
  <si>
    <t>T1.2</t>
  </si>
  <si>
    <t>T1.3</t>
  </si>
  <si>
    <t>T1.4</t>
  </si>
  <si>
    <t>T1.5</t>
  </si>
  <si>
    <t>T1.6</t>
  </si>
  <si>
    <t>Registro de Usuarios</t>
  </si>
  <si>
    <t>Login con JWT</t>
  </si>
  <si>
    <t>Gestión de Cuentas</t>
  </si>
  <si>
    <t>Registro de Cursos</t>
  </si>
  <si>
    <t>Gestión de Períodos</t>
  </si>
  <si>
    <t>Sprint Backlog — Sprint 1  |  SGOHA  |  13 abr – 26 abr 2025  |  24 pts</t>
  </si>
  <si>
    <t>Proyecto:</t>
  </si>
  <si>
    <t>SGOHA — Sistema de Generación Óptima de Horarios Académicos</t>
  </si>
  <si>
    <t>Sprint Goal:</t>
  </si>
  <si>
    <t>Infraestructura base funcional: auth JWT operativa, CRUD entidades académicas y Walking Skeleton desplegado en Railway.</t>
  </si>
  <si>
    <t>Equipo:</t>
  </si>
  <si>
    <t>Dev Backend/Auth  ·  Dev Backend/CSP  ·  Dev Frontend  ·  Dev QA/DevOps</t>
  </si>
  <si>
    <t>Registro de aulas</t>
  </si>
  <si>
    <t>TOTAL RESTANTES</t>
  </si>
  <si>
    <t>Dev Backend/Auth</t>
  </si>
  <si>
    <t>Dev Frontend</t>
  </si>
  <si>
    <t>Dev QA/DevOps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</si>
</sst>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sz val="8"/>
      <name val="Arial"/>
      <family val="2"/>
      <scheme val="minor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theme="0"/>
        <bgColor rgb="FFFFCC9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7" fillId="6" borderId="0" xfId="0" applyFont="1" applyFill="1" applyAlignment="1">
      <alignment horizontal="center" vertical="center"/>
    </xf>
    <xf numFmtId="0" fontId="0" fillId="0" borderId="0" xfId="0"/>
    <xf numFmtId="0" fontId="6" fillId="6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7845828933474128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1"/>
        <c:ser>
          <c:idx val="0"/>
          <c:order val="0"/>
          <c:tx>
            <c:v>Daily Progress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val>
            <c:numRef>
              <c:f>'Sprint 1'!$H$7:$AF$7</c:f>
              <c:numCache>
                <c:formatCode>General</c:formatCode>
                <c:ptCount val="25"/>
                <c:pt idx="0">
                  <c:v>24</c:v>
                </c:pt>
                <c:pt idx="1">
                  <c:v>23</c:v>
                </c:pt>
                <c:pt idx="2">
                  <c:v>21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A-4FEB-96F0-7A1111A8D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82091020"/>
        <c:axId val="1770130716"/>
      </c:barChart>
      <c:lineChart>
        <c:grouping val="standard"/>
        <c:varyColors val="1"/>
        <c:ser>
          <c:idx val="1"/>
          <c:order val="1"/>
          <c:tx>
            <c:v>Ideal Progress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1'!$H$8:$AF$8</c:f>
              <c:numCache>
                <c:formatCode>General</c:formatCode>
                <c:ptCount val="25"/>
                <c:pt idx="0">
                  <c:v>24</c:v>
                </c:pt>
                <c:pt idx="1">
                  <c:v>22.285714285714285</c:v>
                </c:pt>
                <c:pt idx="2">
                  <c:v>20.571428571428573</c:v>
                </c:pt>
                <c:pt idx="3">
                  <c:v>18.857142857142858</c:v>
                </c:pt>
                <c:pt idx="4">
                  <c:v>17.142857142857142</c:v>
                </c:pt>
                <c:pt idx="5">
                  <c:v>15.428571428571429</c:v>
                </c:pt>
                <c:pt idx="6">
                  <c:v>13.714285714285715</c:v>
                </c:pt>
                <c:pt idx="7">
                  <c:v>12</c:v>
                </c:pt>
                <c:pt idx="8">
                  <c:v>10.285714285714286</c:v>
                </c:pt>
                <c:pt idx="9">
                  <c:v>8.571428571428573</c:v>
                </c:pt>
                <c:pt idx="10">
                  <c:v>6.8571428571428577</c:v>
                </c:pt>
                <c:pt idx="11">
                  <c:v>5.1428571428571423</c:v>
                </c:pt>
                <c:pt idx="12">
                  <c:v>3.4285714285714306</c:v>
                </c:pt>
                <c:pt idx="13">
                  <c:v>1.7142857142857153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A-4FEB-96F0-7A1111A8D14C}"/>
            </c:ext>
          </c:extLst>
        </c:ser>
        <c:ser>
          <c:idx val="2"/>
          <c:order val="2"/>
          <c:tx>
            <c:v>Current Trend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'Sprint 1'!$H$9:$AF$9</c:f>
              <c:numCache>
                <c:formatCode>General</c:formatCode>
                <c:ptCount val="25"/>
                <c:pt idx="0">
                  <c:v>23.857142857142861</c:v>
                </c:pt>
                <c:pt idx="1">
                  <c:v>21.714285714285715</c:v>
                </c:pt>
                <c:pt idx="2">
                  <c:v>19.571428571428573</c:v>
                </c:pt>
                <c:pt idx="3">
                  <c:v>17.428571428571431</c:v>
                </c:pt>
                <c:pt idx="4">
                  <c:v>15.285714285714288</c:v>
                </c:pt>
                <c:pt idx="5">
                  <c:v>13.142857142857144</c:v>
                </c:pt>
                <c:pt idx="6">
                  <c:v>11</c:v>
                </c:pt>
                <c:pt idx="7">
                  <c:v>8.8571428571428577</c:v>
                </c:pt>
                <c:pt idx="8">
                  <c:v>6.7142857142857153</c:v>
                </c:pt>
                <c:pt idx="9">
                  <c:v>4.571428571428573</c:v>
                </c:pt>
                <c:pt idx="10">
                  <c:v>2.428571428571427</c:v>
                </c:pt>
                <c:pt idx="11">
                  <c:v>0.2857142857142847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A-4FEB-96F0-7A1111A8D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091020"/>
        <c:axId val="1770130716"/>
      </c:lineChart>
      <c:catAx>
        <c:axId val="7820910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70130716"/>
        <c:crosses val="autoZero"/>
        <c:auto val="1"/>
        <c:lblAlgn val="ctr"/>
        <c:lblOffset val="100"/>
        <c:noMultiLvlLbl val="1"/>
      </c:catAx>
      <c:valAx>
        <c:axId val="17701307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2091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0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538783</xdr:colOff>
      <xdr:row>18</xdr:row>
      <xdr:rowOff>31474</xdr:rowOff>
    </xdr:from>
    <xdr:ext cx="10506075" cy="1228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tri Heiramo" id="{AF7783B2-1142-494F-A841-A3052007DAC0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4-14T01:15:06.00" personId="{AF7783B2-1142-494F-A841-A3052007DAC0}" id="{77DA5B36-5557-4A5F-9F37-C41AC8D37B1C}">
    <text>Count only active working and implementation days. Do not include Planning Day or Sprint Review.
E.g. a 4-week Sprint would most likely have 18 implementation days.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5"/>
  <sheetViews>
    <sheetView tabSelected="1" zoomScale="115" zoomScaleNormal="115" workbookViewId="0">
      <selection activeCell="M29" sqref="M29"/>
    </sheetView>
  </sheetViews>
  <sheetFormatPr baseColWidth="10" defaultColWidth="12.6640625" defaultRowHeight="15" customHeight="1" x14ac:dyDescent="0.25"/>
  <cols>
    <col min="1" max="1" width="3.21875" customWidth="1"/>
    <col min="2" max="2" width="12.77734375" customWidth="1"/>
    <col min="3" max="3" width="38.33203125" customWidth="1"/>
    <col min="4" max="4" width="10.77734375" customWidth="1"/>
    <col min="5" max="5" width="16.33203125" customWidth="1"/>
    <col min="6" max="6" width="10.88671875" customWidth="1"/>
    <col min="7" max="7" width="9.6640625" customWidth="1"/>
    <col min="8" max="8" width="13.5546875" customWidth="1"/>
    <col min="9" max="32" width="4.33203125" customWidth="1"/>
    <col min="33" max="33" width="9.109375" customWidth="1"/>
  </cols>
  <sheetData>
    <row r="1" spans="1:34" ht="12.75" customHeight="1" x14ac:dyDescent="0.25">
      <c r="A1" s="6"/>
      <c r="B1" s="9" t="s">
        <v>34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8"/>
      <c r="X1" s="8"/>
      <c r="Y1" s="8"/>
      <c r="Z1" s="8"/>
      <c r="AA1" s="8"/>
      <c r="AB1" s="8"/>
      <c r="AC1" s="8"/>
      <c r="AD1" s="8"/>
      <c r="AE1" s="8"/>
      <c r="AF1" s="8"/>
      <c r="AG1" s="6"/>
      <c r="AH1" s="6"/>
    </row>
    <row r="2" spans="1:34" ht="12.75" customHeight="1" x14ac:dyDescent="0.25">
      <c r="A2" s="6"/>
      <c r="B2" s="29" t="s">
        <v>35</v>
      </c>
      <c r="C2" s="30" t="s">
        <v>36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7"/>
      <c r="X2" s="7"/>
      <c r="Y2" s="7"/>
      <c r="Z2" s="7"/>
      <c r="AA2" s="7"/>
      <c r="AB2" s="7"/>
      <c r="AC2" s="7"/>
      <c r="AD2" s="7"/>
      <c r="AE2" s="7"/>
      <c r="AF2" s="7"/>
      <c r="AG2" s="6"/>
      <c r="AH2" s="6"/>
    </row>
    <row r="3" spans="1:34" ht="12.75" customHeight="1" x14ac:dyDescent="0.25">
      <c r="A3" s="6"/>
      <c r="B3" s="29" t="s">
        <v>37</v>
      </c>
      <c r="C3" s="30" t="s">
        <v>38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7"/>
      <c r="X3" s="7"/>
      <c r="Y3" s="7"/>
      <c r="Z3" s="7"/>
      <c r="AA3" s="7"/>
      <c r="AB3" s="7"/>
      <c r="AC3" s="7"/>
      <c r="AD3" s="7"/>
      <c r="AE3" s="7"/>
      <c r="AF3" s="7"/>
      <c r="AG3" s="6"/>
      <c r="AH3" s="6"/>
    </row>
    <row r="4" spans="1:34" ht="12.75" customHeight="1" x14ac:dyDescent="0.25">
      <c r="A4" s="6"/>
      <c r="B4" s="29" t="s">
        <v>39</v>
      </c>
      <c r="C4" s="30" t="s">
        <v>40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7"/>
      <c r="X4" s="7"/>
      <c r="Y4" s="7"/>
      <c r="Z4" s="7"/>
      <c r="AA4" s="7"/>
      <c r="AB4" s="7"/>
      <c r="AC4" s="7"/>
      <c r="AD4" s="7"/>
      <c r="AE4" s="7"/>
      <c r="AF4" s="7"/>
      <c r="AG4" s="6"/>
      <c r="AH4" s="6"/>
    </row>
    <row r="5" spans="1:34" ht="12.75" customHeight="1" x14ac:dyDescent="0.25">
      <c r="D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4" ht="12.75" customHeight="1" x14ac:dyDescent="0.25">
      <c r="B6" s="12"/>
      <c r="C6" s="12" t="s">
        <v>0</v>
      </c>
      <c r="D6" s="13">
        <v>14</v>
      </c>
      <c r="E6" s="25"/>
      <c r="F6" s="26"/>
      <c r="G6" s="25"/>
      <c r="H6" s="24" t="s">
        <v>42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4" ht="12.75" customHeight="1" x14ac:dyDescent="0.25">
      <c r="B7" s="12"/>
      <c r="C7" s="12" t="s">
        <v>1</v>
      </c>
      <c r="D7" s="13">
        <v>14</v>
      </c>
      <c r="E7" s="12" t="s">
        <v>2</v>
      </c>
      <c r="F7" s="12" t="s">
        <v>3</v>
      </c>
      <c r="G7" s="14">
        <f ca="1">SUM(OFFSET(G11,1,0,'Sprint 1'!TaskRows,1))</f>
        <v>24</v>
      </c>
      <c r="H7" s="11">
        <v>24</v>
      </c>
      <c r="I7" s="11">
        <v>23</v>
      </c>
      <c r="J7" s="11">
        <v>21</v>
      </c>
      <c r="K7" s="11">
        <v>18</v>
      </c>
      <c r="L7" s="11">
        <v>15</v>
      </c>
      <c r="M7" s="11">
        <v>12</v>
      </c>
      <c r="N7" s="11">
        <v>9</v>
      </c>
      <c r="O7" s="11">
        <v>8</v>
      </c>
      <c r="P7" s="11">
        <v>5</v>
      </c>
      <c r="Q7" s="11">
        <v>4</v>
      </c>
      <c r="R7" s="11">
        <v>2</v>
      </c>
      <c r="S7" s="11">
        <v>1</v>
      </c>
      <c r="T7" s="11">
        <v>1</v>
      </c>
      <c r="U7" s="11">
        <v>0</v>
      </c>
      <c r="V7" s="4" t="str">
        <f ca="1">IF(AND(SUM(OFFSET(V11,1,0,'Sprint 1'!TaskRows,1))=0),"",SUM(OFFSET(V11,1,0,'Sprint 1'!TaskRows,1)))</f>
        <v/>
      </c>
      <c r="W7" s="4" t="str">
        <f ca="1">IF(AND(SUM(OFFSET(W11,1,0,'Sprint 1'!TaskRows,1))=0),"",SUM(OFFSET(W11,1,0,'Sprint 1'!TaskRows,1)))</f>
        <v/>
      </c>
      <c r="X7" s="4" t="str">
        <f ca="1">IF(AND(SUM(OFFSET(X11,1,0,'Sprint 1'!TaskRows,1))=0),"",SUM(OFFSET(X11,1,0,'Sprint 1'!TaskRows,1)))</f>
        <v/>
      </c>
      <c r="Y7" s="4" t="str">
        <f ca="1">IF(AND(SUM(OFFSET(Y11,1,0,'Sprint 1'!TaskRows,1))=0),"",SUM(OFFSET(Y11,1,0,'Sprint 1'!TaskRows,1)))</f>
        <v/>
      </c>
      <c r="Z7" s="4" t="str">
        <f ca="1">IF(AND(SUM(OFFSET(Z11,1,0,'Sprint 1'!TaskRows,1))=0),"",SUM(OFFSET(Z11,1,0,'Sprint 1'!TaskRows,1)))</f>
        <v/>
      </c>
      <c r="AA7" s="4" t="str">
        <f ca="1">IF(AND(SUM(OFFSET(AA11,1,0,'Sprint 1'!TaskRows,1))=0),"",SUM(OFFSET(AA11,1,0,'Sprint 1'!TaskRows,1)))</f>
        <v/>
      </c>
      <c r="AB7" s="4" t="str">
        <f ca="1">IF(AND(SUM(OFFSET(AB11,1,0,'Sprint 1'!TaskRows,1))=0),"",SUM(OFFSET(AB11,1,0,'Sprint 1'!TaskRows,1)))</f>
        <v/>
      </c>
      <c r="AC7" s="4" t="str">
        <f ca="1">IF(AND(SUM(OFFSET(AC11,1,0,'Sprint 1'!TaskRows,1))=0),"",SUM(OFFSET(AC11,1,0,'Sprint 1'!TaskRows,1)))</f>
        <v/>
      </c>
      <c r="AD7" s="4" t="str">
        <f ca="1">IF(AND(SUM(OFFSET(AD11,1,0,'Sprint 1'!TaskRows,1))=0),"",SUM(OFFSET(AD11,1,0,'Sprint 1'!TaskRows,1)))</f>
        <v/>
      </c>
      <c r="AE7" s="4" t="str">
        <f ca="1">IF(AND(SUM(OFFSET(AE11,1,0,'Sprint 1'!TaskRows,1))=0),"",SUM(OFFSET(AE11,1,0,'Sprint 1'!TaskRows,1)))</f>
        <v/>
      </c>
      <c r="AF7" s="4" t="str">
        <f ca="1">IF(AND(SUM(OFFSET(AF11,1,0,'Sprint 1'!TaskRows,1))=0),"",SUM(OFFSET(AF11,1,0,'Sprint 1'!TaskRows,1)))</f>
        <v/>
      </c>
    </row>
    <row r="8" spans="1:34" ht="12.75" hidden="1" customHeight="1" x14ac:dyDescent="0.25">
      <c r="B8" s="15"/>
      <c r="C8" s="16" t="s">
        <v>4</v>
      </c>
      <c r="D8" s="13">
        <f>IF(COUNTA(C12:C234)=0,1,COUNTA(C12:C234))</f>
        <v>6</v>
      </c>
      <c r="E8" s="16" t="s">
        <v>5</v>
      </c>
      <c r="F8" s="13">
        <f ca="1">IF(COUNTIF(H7:AF7,"&gt;0")=0,1,COUNTIF(H7:AF7,"&gt;0"))</f>
        <v>13</v>
      </c>
      <c r="G8" s="13"/>
      <c r="H8" s="13">
        <f ca="1">IF(H11="","",$G7-$G7/($D6-1)*(H11-1))</f>
        <v>24</v>
      </c>
      <c r="I8" s="13">
        <f ca="1">IF(I11="","",'Sprint 1'!TotalEffort-'Sprint 1'!TotalEffort/('Sprint 1'!ImplementationDays)*(I11-1))</f>
        <v>22.285714285714285</v>
      </c>
      <c r="J8" s="13">
        <f ca="1">IF(J11="","",'Sprint 1'!TotalEffort-'Sprint 1'!TotalEffort/('Sprint 1'!ImplementationDays)*(J11-1))</f>
        <v>20.571428571428573</v>
      </c>
      <c r="K8" s="13">
        <f ca="1">IF(K11="","",'Sprint 1'!TotalEffort-'Sprint 1'!TotalEffort/('Sprint 1'!ImplementationDays)*(K11-1))</f>
        <v>18.857142857142858</v>
      </c>
      <c r="L8" s="13">
        <f ca="1">IF(L11="","",'Sprint 1'!TotalEffort-'Sprint 1'!TotalEffort/('Sprint 1'!ImplementationDays)*(L11-1))</f>
        <v>17.142857142857142</v>
      </c>
      <c r="M8" s="13">
        <f ca="1">IF(M11="","",'Sprint 1'!TotalEffort-'Sprint 1'!TotalEffort/('Sprint 1'!ImplementationDays)*(M11-1))</f>
        <v>15.428571428571429</v>
      </c>
      <c r="N8" s="13">
        <f ca="1">IF(N11="","",'Sprint 1'!TotalEffort-'Sprint 1'!TotalEffort/('Sprint 1'!ImplementationDays)*(N11-1))</f>
        <v>13.714285714285715</v>
      </c>
      <c r="O8" s="13">
        <f ca="1">IF(O11="","",'Sprint 1'!TotalEffort-'Sprint 1'!TotalEffort/('Sprint 1'!ImplementationDays)*(O11-1))</f>
        <v>12</v>
      </c>
      <c r="P8" s="13">
        <f ca="1">IF(P11="","",'Sprint 1'!TotalEffort-'Sprint 1'!TotalEffort/('Sprint 1'!ImplementationDays)*(P11-1))</f>
        <v>10.285714285714286</v>
      </c>
      <c r="Q8" s="13">
        <f ca="1">IF(Q11="","",'Sprint 1'!TotalEffort-'Sprint 1'!TotalEffort/('Sprint 1'!ImplementationDays)*(Q11-1))</f>
        <v>8.571428571428573</v>
      </c>
      <c r="R8" s="13">
        <f ca="1">IF(R11="","",'Sprint 1'!TotalEffort-'Sprint 1'!TotalEffort/('Sprint 1'!ImplementationDays)*(R11-1))</f>
        <v>6.8571428571428577</v>
      </c>
      <c r="S8" s="13">
        <f ca="1">IF(S11="","",'Sprint 1'!TotalEffort-'Sprint 1'!TotalEffort/('Sprint 1'!ImplementationDays)*(S11-1))</f>
        <v>5.1428571428571423</v>
      </c>
      <c r="T8" s="13">
        <f ca="1">IF(T11="","",'Sprint 1'!TotalEffort-'Sprint 1'!TotalEffort/('Sprint 1'!ImplementationDays)*(T11-1))</f>
        <v>3.4285714285714306</v>
      </c>
      <c r="U8" s="13">
        <f ca="1">IF(U11="","",'Sprint 1'!TotalEffort-'Sprint 1'!TotalEffort/('Sprint 1'!ImplementationDays)*(U11-1))</f>
        <v>1.7142857142857153</v>
      </c>
      <c r="V8" s="1" t="str">
        <f>IF(V11="","",'Sprint 1'!TotalEffort-'Sprint 1'!TotalEffort/('Sprint 1'!ImplementationDays)*(V11-1))</f>
        <v/>
      </c>
      <c r="W8" s="1" t="str">
        <f>IF(W11="","",'Sprint 1'!TotalEffort-'Sprint 1'!TotalEffort/('Sprint 1'!ImplementationDays)*(W11-1))</f>
        <v/>
      </c>
      <c r="X8" s="1" t="str">
        <f>IF(X11="","",'Sprint 1'!TotalEffort-'Sprint 1'!TotalEffort/('Sprint 1'!ImplementationDays)*(X11-1))</f>
        <v/>
      </c>
      <c r="Y8" s="1" t="str">
        <f>IF(Y11="","",'Sprint 1'!TotalEffort-'Sprint 1'!TotalEffort/('Sprint 1'!ImplementationDays)*(Y11-1))</f>
        <v/>
      </c>
      <c r="Z8" s="1" t="str">
        <f>IF(Z11="","",'Sprint 1'!TotalEffort-'Sprint 1'!TotalEffort/('Sprint 1'!ImplementationDays)*(Z11-1))</f>
        <v/>
      </c>
      <c r="AA8" s="1" t="str">
        <f>IF(AA11="","",'Sprint 1'!TotalEffort-'Sprint 1'!TotalEffort/('Sprint 1'!ImplementationDays)*(AA11-1))</f>
        <v/>
      </c>
      <c r="AB8" s="1" t="str">
        <f>IF(AB11="","",'Sprint 1'!TotalEffort-'Sprint 1'!TotalEffort/('Sprint 1'!ImplementationDays)*(AB11-1))</f>
        <v/>
      </c>
      <c r="AC8" s="1" t="str">
        <f>IF(AC11="","",'Sprint 1'!TotalEffort-'Sprint 1'!TotalEffort/('Sprint 1'!ImplementationDays)*(AC11-1))</f>
        <v/>
      </c>
      <c r="AD8" s="1" t="str">
        <f>IF(AD11="","",'Sprint 1'!TotalEffort-'Sprint 1'!TotalEffort/('Sprint 1'!ImplementationDays)*(AD11-1))</f>
        <v/>
      </c>
      <c r="AE8" s="1" t="str">
        <f>IF(AE11="","",'Sprint 1'!TotalEffort-'Sprint 1'!TotalEffort/('Sprint 1'!ImplementationDays)*(AE11-1))</f>
        <v/>
      </c>
      <c r="AF8" s="1" t="str">
        <f>IF(AF11="","",'Sprint 1'!TotalEffort-'Sprint 1'!TotalEffort/('Sprint 1'!ImplementationDays)*(AF11-1))</f>
        <v/>
      </c>
    </row>
    <row r="9" spans="1:34" ht="12.75" hidden="1" customHeight="1" x14ac:dyDescent="0.25">
      <c r="B9" s="15"/>
      <c r="C9" s="17" t="s">
        <v>6</v>
      </c>
      <c r="D9" s="15"/>
      <c r="E9" s="16" t="s">
        <v>7</v>
      </c>
      <c r="F9" s="13"/>
      <c r="G9" s="13"/>
      <c r="H9" s="13">
        <f t="array" aca="1" ref="H9" ca="1">IF(TREND(OFFSET($H7,0,'Sprint 1'!DoneDays-'Sprint 1'!TrendDays,1,'Sprint 1'!TrendDays),OFFSET($H10,0,'Sprint 1'!DoneDays-'Sprint 1'!TrendDays,1,'Sprint 1'!TrendDays),H10)&lt;0,"",TREND(OFFSET($H7,0,'Sprint 1'!DoneDays-'Sprint 1'!TrendDays,1,'Sprint 1'!TrendDays),OFFSET($H10,0,'Sprint 1'!DoneDays-'Sprint 1'!TrendDays,1,'Sprint 1'!TrendDays),H10))</f>
        <v>23.857142857142861</v>
      </c>
      <c r="I9" s="13">
        <f t="array" aca="1" ref="I9" ca="1">IF(TREND(OFFSET($H7,0,'Sprint 1'!DoneDays-'Sprint 1'!TrendDays,1,'Sprint 1'!TrendDays),OFFSET($H10,0,'Sprint 1'!DoneDays-'Sprint 1'!TrendDays,1,'Sprint 1'!TrendDays),I10)&lt;0,"",TREND(OFFSET($H7,0,'Sprint 1'!DoneDays-'Sprint 1'!TrendDays,1,'Sprint 1'!TrendDays),OFFSET($H10,0,'Sprint 1'!DoneDays-'Sprint 1'!TrendDays,1,'Sprint 1'!TrendDays),I10))</f>
        <v>21.714285714285715</v>
      </c>
      <c r="J9" s="13">
        <f t="array" aca="1" ref="J9" ca="1">IF(TREND(OFFSET($H7,0,'Sprint 1'!DoneDays-'Sprint 1'!TrendDays,1,'Sprint 1'!TrendDays),OFFSET($H10,0,'Sprint 1'!DoneDays-'Sprint 1'!TrendDays,1,'Sprint 1'!TrendDays),J10)&lt;0,"",TREND(OFFSET($H7,0,'Sprint 1'!DoneDays-'Sprint 1'!TrendDays,1,'Sprint 1'!TrendDays),OFFSET($H10,0,'Sprint 1'!DoneDays-'Sprint 1'!TrendDays,1,'Sprint 1'!TrendDays),J10))</f>
        <v>19.571428571428573</v>
      </c>
      <c r="K9" s="13">
        <f t="array" aca="1" ref="K9" ca="1">IF(TREND(OFFSET($H7,0,'Sprint 1'!DoneDays-'Sprint 1'!TrendDays,1,'Sprint 1'!TrendDays),OFFSET($H10,0,'Sprint 1'!DoneDays-'Sprint 1'!TrendDays,1,'Sprint 1'!TrendDays),K10)&lt;0,"",TREND(OFFSET($H7,0,'Sprint 1'!DoneDays-'Sprint 1'!TrendDays,1,'Sprint 1'!TrendDays),OFFSET($H10,0,'Sprint 1'!DoneDays-'Sprint 1'!TrendDays,1,'Sprint 1'!TrendDays),K10))</f>
        <v>17.428571428571431</v>
      </c>
      <c r="L9" s="13">
        <f t="array" aca="1" ref="L9" ca="1">IF(TREND(OFFSET($H7,0,'Sprint 1'!DoneDays-'Sprint 1'!TrendDays,1,'Sprint 1'!TrendDays),OFFSET($H10,0,'Sprint 1'!DoneDays-'Sprint 1'!TrendDays,1,'Sprint 1'!TrendDays),L10)&lt;0,"",TREND(OFFSET($H7,0,'Sprint 1'!DoneDays-'Sprint 1'!TrendDays,1,'Sprint 1'!TrendDays),OFFSET($H10,0,'Sprint 1'!DoneDays-'Sprint 1'!TrendDays,1,'Sprint 1'!TrendDays),L10))</f>
        <v>15.285714285714288</v>
      </c>
      <c r="M9" s="13">
        <f t="array" aca="1" ref="M9" ca="1">IF(TREND(OFFSET($H7,0,'Sprint 1'!DoneDays-'Sprint 1'!TrendDays,1,'Sprint 1'!TrendDays),OFFSET($H10,0,'Sprint 1'!DoneDays-'Sprint 1'!TrendDays,1,'Sprint 1'!TrendDays),M10)&lt;0,"",TREND(OFFSET($H7,0,'Sprint 1'!DoneDays-'Sprint 1'!TrendDays,1,'Sprint 1'!TrendDays),OFFSET($H10,0,'Sprint 1'!DoneDays-'Sprint 1'!TrendDays,1,'Sprint 1'!TrendDays),M10))</f>
        <v>13.142857142857144</v>
      </c>
      <c r="N9" s="13">
        <f t="array" aca="1" ref="N9" ca="1">IF(TREND(OFFSET($H7,0,'Sprint 1'!DoneDays-'Sprint 1'!TrendDays,1,'Sprint 1'!TrendDays),OFFSET($H10,0,'Sprint 1'!DoneDays-'Sprint 1'!TrendDays,1,'Sprint 1'!TrendDays),N10)&lt;0,"",TREND(OFFSET($H7,0,'Sprint 1'!DoneDays-'Sprint 1'!TrendDays,1,'Sprint 1'!TrendDays),OFFSET($H10,0,'Sprint 1'!DoneDays-'Sprint 1'!TrendDays,1,'Sprint 1'!TrendDays),N10))</f>
        <v>11</v>
      </c>
      <c r="O9" s="13">
        <f t="array" aca="1" ref="O9" ca="1">IF(TREND(OFFSET($H7,0,'Sprint 1'!DoneDays-'Sprint 1'!TrendDays,1,'Sprint 1'!TrendDays),OFFSET($H10,0,'Sprint 1'!DoneDays-'Sprint 1'!TrendDays,1,'Sprint 1'!TrendDays),O10)&lt;0,"",TREND(OFFSET($H7,0,'Sprint 1'!DoneDays-'Sprint 1'!TrendDays,1,'Sprint 1'!TrendDays),OFFSET($H10,0,'Sprint 1'!DoneDays-'Sprint 1'!TrendDays,1,'Sprint 1'!TrendDays),O10))</f>
        <v>8.8571428571428577</v>
      </c>
      <c r="P9" s="13">
        <f t="array" aca="1" ref="P9" ca="1">IF(TREND(OFFSET($H7,0,'Sprint 1'!DoneDays-'Sprint 1'!TrendDays,1,'Sprint 1'!TrendDays),OFFSET($H10,0,'Sprint 1'!DoneDays-'Sprint 1'!TrendDays,1,'Sprint 1'!TrendDays),P10)&lt;0,"",TREND(OFFSET($H7,0,'Sprint 1'!DoneDays-'Sprint 1'!TrendDays,1,'Sprint 1'!TrendDays),OFFSET($H10,0,'Sprint 1'!DoneDays-'Sprint 1'!TrendDays,1,'Sprint 1'!TrendDays),P10))</f>
        <v>6.7142857142857153</v>
      </c>
      <c r="Q9" s="13">
        <f t="array" aca="1" ref="Q9" ca="1">IF(TREND(OFFSET($H7,0,'Sprint 1'!DoneDays-'Sprint 1'!TrendDays,1,'Sprint 1'!TrendDays),OFFSET($H10,0,'Sprint 1'!DoneDays-'Sprint 1'!TrendDays,1,'Sprint 1'!TrendDays),Q10)&lt;0,"",TREND(OFFSET($H7,0,'Sprint 1'!DoneDays-'Sprint 1'!TrendDays,1,'Sprint 1'!TrendDays),OFFSET($H10,0,'Sprint 1'!DoneDays-'Sprint 1'!TrendDays,1,'Sprint 1'!TrendDays),Q10))</f>
        <v>4.571428571428573</v>
      </c>
      <c r="R9" s="13">
        <f t="array" aca="1" ref="R9" ca="1">IF(TREND(OFFSET($H7,0,'Sprint 1'!DoneDays-'Sprint 1'!TrendDays,1,'Sprint 1'!TrendDays),OFFSET($H10,0,'Sprint 1'!DoneDays-'Sprint 1'!TrendDays,1,'Sprint 1'!TrendDays),R10)&lt;0,"",TREND(OFFSET($H7,0,'Sprint 1'!DoneDays-'Sprint 1'!TrendDays,1,'Sprint 1'!TrendDays),OFFSET($H10,0,'Sprint 1'!DoneDays-'Sprint 1'!TrendDays,1,'Sprint 1'!TrendDays),R10))</f>
        <v>2.428571428571427</v>
      </c>
      <c r="S9" s="13">
        <f t="array" aca="1" ref="S9" ca="1">IF(TREND(OFFSET($H7,0,'Sprint 1'!DoneDays-'Sprint 1'!TrendDays,1,'Sprint 1'!TrendDays),OFFSET($H10,0,'Sprint 1'!DoneDays-'Sprint 1'!TrendDays,1,'Sprint 1'!TrendDays),S10)&lt;0,"",TREND(OFFSET($H7,0,'Sprint 1'!DoneDays-'Sprint 1'!TrendDays,1,'Sprint 1'!TrendDays),OFFSET($H10,0,'Sprint 1'!DoneDays-'Sprint 1'!TrendDays,1,'Sprint 1'!TrendDays),S10))</f>
        <v>0.2857142857142847</v>
      </c>
      <c r="T9" s="13" t="str">
        <f t="array" aca="1" ref="T9" ca="1">IF(TREND(OFFSET($H7,0,'Sprint 1'!DoneDays-'Sprint 1'!TrendDays,1,'Sprint 1'!TrendDays),OFFSET($H10,0,'Sprint 1'!DoneDays-'Sprint 1'!TrendDays,1,'Sprint 1'!TrendDays),T10)&lt;0,"",TREND(OFFSET($H7,0,'Sprint 1'!DoneDays-'Sprint 1'!TrendDays,1,'Sprint 1'!TrendDays),OFFSET($H10,0,'Sprint 1'!DoneDays-'Sprint 1'!TrendDays,1,'Sprint 1'!TrendDays),T10))</f>
        <v/>
      </c>
      <c r="U9" s="13" t="str">
        <f t="array" aca="1" ref="U9" ca="1">IF(TREND(OFFSET($H7,0,'Sprint 1'!DoneDays-'Sprint 1'!TrendDays,1,'Sprint 1'!TrendDays),OFFSET($H10,0,'Sprint 1'!DoneDays-'Sprint 1'!TrendDays,1,'Sprint 1'!TrendDays),U10)&lt;0,"",TREND(OFFSET($H7,0,'Sprint 1'!DoneDays-'Sprint 1'!TrendDays,1,'Sprint 1'!TrendDays),OFFSET($H10,0,'Sprint 1'!DoneDays-'Sprint 1'!TrendDays,1,'Sprint 1'!TrendDays),U10))</f>
        <v/>
      </c>
      <c r="V9" s="1" t="str">
        <f t="array" aca="1" ref="V9" ca="1">IF(TREND(OFFSET($H7,0,'Sprint 1'!DoneDays-'Sprint 1'!TrendDays,1,'Sprint 1'!TrendDays),OFFSET($H10,0,'Sprint 1'!DoneDays-'Sprint 1'!TrendDays,1,'Sprint 1'!TrendDays),V10)&lt;0,"",TREND(OFFSET($H7,0,'Sprint 1'!DoneDays-'Sprint 1'!TrendDays,1,'Sprint 1'!TrendDays),OFFSET($H10,0,'Sprint 1'!DoneDays-'Sprint 1'!TrendDays,1,'Sprint 1'!TrendDays),V10))</f>
        <v/>
      </c>
      <c r="W9" s="1" t="str">
        <f t="array" aca="1" ref="W9" ca="1">IF(TREND(OFFSET($H7,0,'Sprint 1'!DoneDays-'Sprint 1'!TrendDays,1,'Sprint 1'!TrendDays),OFFSET($H10,0,'Sprint 1'!DoneDays-'Sprint 1'!TrendDays,1,'Sprint 1'!TrendDays),W10)&lt;0,"",TREND(OFFSET($H7,0,'Sprint 1'!DoneDays-'Sprint 1'!TrendDays,1,'Sprint 1'!TrendDays),OFFSET($H10,0,'Sprint 1'!DoneDays-'Sprint 1'!TrendDays,1,'Sprint 1'!TrendDays),W10))</f>
        <v/>
      </c>
      <c r="X9" s="1" t="str">
        <f t="array" aca="1" ref="X9" ca="1">IF(TREND(OFFSET($H7,0,'Sprint 1'!DoneDays-'Sprint 1'!TrendDays,1,'Sprint 1'!TrendDays),OFFSET($H10,0,'Sprint 1'!DoneDays-'Sprint 1'!TrendDays,1,'Sprint 1'!TrendDays),X10)&lt;0,"",TREND(OFFSET($H7,0,'Sprint 1'!DoneDays-'Sprint 1'!TrendDays,1,'Sprint 1'!TrendDays),OFFSET($H10,0,'Sprint 1'!DoneDays-'Sprint 1'!TrendDays,1,'Sprint 1'!TrendDays),X10))</f>
        <v/>
      </c>
      <c r="Y9" s="1" t="str">
        <f t="array" aca="1" ref="Y9" ca="1">IF(TREND(OFFSET($H7,0,'Sprint 1'!DoneDays-'Sprint 1'!TrendDays,1,'Sprint 1'!TrendDays),OFFSET($H10,0,'Sprint 1'!DoneDays-'Sprint 1'!TrendDays,1,'Sprint 1'!TrendDays),Y10)&lt;0,"",TREND(OFFSET($H7,0,'Sprint 1'!DoneDays-'Sprint 1'!TrendDays,1,'Sprint 1'!TrendDays),OFFSET($H10,0,'Sprint 1'!DoneDays-'Sprint 1'!TrendDays,1,'Sprint 1'!TrendDays),Y10))</f>
        <v/>
      </c>
      <c r="Z9" s="1" t="str">
        <f t="array" aca="1" ref="Z9" ca="1">IF(TREND(OFFSET($H7,0,'Sprint 1'!DoneDays-'Sprint 1'!TrendDays,1,'Sprint 1'!TrendDays),OFFSET($H10,0,'Sprint 1'!DoneDays-'Sprint 1'!TrendDays,1,'Sprint 1'!TrendDays),Z10)&lt;0,"",TREND(OFFSET($H7,0,'Sprint 1'!DoneDays-'Sprint 1'!TrendDays,1,'Sprint 1'!TrendDays),OFFSET($H10,0,'Sprint 1'!DoneDays-'Sprint 1'!TrendDays,1,'Sprint 1'!TrendDays),Z10))</f>
        <v/>
      </c>
      <c r="AA9" s="1" t="str">
        <f t="array" aca="1" ref="AA9" ca="1">IF(TREND(OFFSET($H7,0,'Sprint 1'!DoneDays-'Sprint 1'!TrendDays,1,'Sprint 1'!TrendDays),OFFSET($H10,0,'Sprint 1'!DoneDays-'Sprint 1'!TrendDays,1,'Sprint 1'!TrendDays),AA10)&lt;0,"",TREND(OFFSET($H7,0,'Sprint 1'!DoneDays-'Sprint 1'!TrendDays,1,'Sprint 1'!TrendDays),OFFSET($H10,0,'Sprint 1'!DoneDays-'Sprint 1'!TrendDays,1,'Sprint 1'!TrendDays),AA10))</f>
        <v/>
      </c>
      <c r="AB9" s="1" t="str">
        <f t="array" aca="1" ref="AB9" ca="1">IF(TREND(OFFSET($H7,0,'Sprint 1'!DoneDays-'Sprint 1'!TrendDays,1,'Sprint 1'!TrendDays),OFFSET($H10,0,'Sprint 1'!DoneDays-'Sprint 1'!TrendDays,1,'Sprint 1'!TrendDays),AB10)&lt;0,"",TREND(OFFSET($H7,0,'Sprint 1'!DoneDays-'Sprint 1'!TrendDays,1,'Sprint 1'!TrendDays),OFFSET($H10,0,'Sprint 1'!DoneDays-'Sprint 1'!TrendDays,1,'Sprint 1'!TrendDays),AB10))</f>
        <v/>
      </c>
      <c r="AC9" s="1" t="str">
        <f t="array" aca="1" ref="AC9" ca="1">IF(TREND(OFFSET($H7,0,'Sprint 1'!DoneDays-'Sprint 1'!TrendDays,1,'Sprint 1'!TrendDays),OFFSET($H10,0,'Sprint 1'!DoneDays-'Sprint 1'!TrendDays,1,'Sprint 1'!TrendDays),AC10)&lt;0,"",TREND(OFFSET($H7,0,'Sprint 1'!DoneDays-'Sprint 1'!TrendDays,1,'Sprint 1'!TrendDays),OFFSET($H10,0,'Sprint 1'!DoneDays-'Sprint 1'!TrendDays,1,'Sprint 1'!TrendDays),AC10))</f>
        <v/>
      </c>
      <c r="AD9" s="1" t="str">
        <f t="array" aca="1" ref="AD9" ca="1">IF(TREND(OFFSET($H7,0,'Sprint 1'!DoneDays-'Sprint 1'!TrendDays,1,'Sprint 1'!TrendDays),OFFSET($H10,0,'Sprint 1'!DoneDays-'Sprint 1'!TrendDays,1,'Sprint 1'!TrendDays),AD10)&lt;0,"",TREND(OFFSET($H7,0,'Sprint 1'!DoneDays-'Sprint 1'!TrendDays,1,'Sprint 1'!TrendDays),OFFSET($H10,0,'Sprint 1'!DoneDays-'Sprint 1'!TrendDays,1,'Sprint 1'!TrendDays),AD10))</f>
        <v/>
      </c>
      <c r="AE9" s="1" t="str">
        <f t="array" aca="1" ref="AE9" ca="1">IF(TREND(OFFSET($H7,0,'Sprint 1'!DoneDays-'Sprint 1'!TrendDays,1,'Sprint 1'!TrendDays),OFFSET($H10,0,'Sprint 1'!DoneDays-'Sprint 1'!TrendDays,1,'Sprint 1'!TrendDays),AE10)&lt;0,"",TREND(OFFSET($H7,0,'Sprint 1'!DoneDays-'Sprint 1'!TrendDays,1,'Sprint 1'!TrendDays),OFFSET($H10,0,'Sprint 1'!DoneDays-'Sprint 1'!TrendDays,1,'Sprint 1'!TrendDays),AE10))</f>
        <v/>
      </c>
      <c r="AF9" s="1" t="str">
        <f t="array" aca="1" ref="AF9" ca="1">IF(TREND(OFFSET($H7,0,'Sprint 1'!DoneDays-'Sprint 1'!TrendDays,1,'Sprint 1'!TrendDays),OFFSET($H10,0,'Sprint 1'!DoneDays-'Sprint 1'!TrendDays,1,'Sprint 1'!TrendDays),AF10)&lt;0,"",TREND(OFFSET($H7,0,'Sprint 1'!DoneDays-'Sprint 1'!TrendDays,1,'Sprint 1'!TrendDays),OFFSET($H10,0,'Sprint 1'!DoneDays-'Sprint 1'!TrendDays,1,'Sprint 1'!TrendDays),AF10))</f>
        <v/>
      </c>
    </row>
    <row r="10" spans="1:34" ht="12.75" hidden="1" customHeight="1" x14ac:dyDescent="0.25">
      <c r="B10" s="15"/>
      <c r="C10" s="17" t="s">
        <v>8</v>
      </c>
      <c r="D10" s="15"/>
      <c r="E10" s="16" t="s">
        <v>9</v>
      </c>
      <c r="F10" s="13">
        <f ca="1">IF('Sprint 1'!DoneDays&gt;D7,D7,'Sprint 1'!DoneDays)</f>
        <v>13</v>
      </c>
      <c r="G10" s="13"/>
      <c r="H10" s="13">
        <f ca="1">IF('Sprint 1'!DoneDays&gt;G10,G10+1,"")</f>
        <v>1</v>
      </c>
      <c r="I10" s="13">
        <v>2</v>
      </c>
      <c r="J10" s="13">
        <v>3</v>
      </c>
      <c r="K10" s="13">
        <v>4</v>
      </c>
      <c r="L10" s="13">
        <v>5</v>
      </c>
      <c r="M10" s="13">
        <v>6</v>
      </c>
      <c r="N10" s="13">
        <v>7</v>
      </c>
      <c r="O10" s="13">
        <v>8</v>
      </c>
      <c r="P10" s="13">
        <v>9</v>
      </c>
      <c r="Q10" s="13">
        <v>10</v>
      </c>
      <c r="R10" s="13">
        <v>11</v>
      </c>
      <c r="S10" s="13">
        <v>12</v>
      </c>
      <c r="T10" s="13">
        <v>13</v>
      </c>
      <c r="U10" s="13">
        <v>14</v>
      </c>
      <c r="V10" s="1">
        <v>15</v>
      </c>
      <c r="W10" s="1">
        <v>16</v>
      </c>
      <c r="X10" s="1">
        <v>17</v>
      </c>
      <c r="Y10" s="1">
        <v>18</v>
      </c>
      <c r="Z10" s="1">
        <v>19</v>
      </c>
      <c r="AA10" s="1">
        <v>20</v>
      </c>
      <c r="AB10" s="1">
        <v>21</v>
      </c>
      <c r="AC10" s="1">
        <v>22</v>
      </c>
      <c r="AD10" s="1">
        <v>23</v>
      </c>
      <c r="AE10" s="1">
        <v>24</v>
      </c>
      <c r="AF10" s="1">
        <v>25</v>
      </c>
    </row>
    <row r="11" spans="1:34" ht="12.75" customHeight="1" x14ac:dyDescent="0.25">
      <c r="B11" s="12" t="s">
        <v>10</v>
      </c>
      <c r="C11" s="12" t="s">
        <v>11</v>
      </c>
      <c r="D11" s="12" t="s">
        <v>12</v>
      </c>
      <c r="E11" s="12" t="s">
        <v>13</v>
      </c>
      <c r="F11" s="12" t="s">
        <v>14</v>
      </c>
      <c r="G11" s="12" t="s">
        <v>15</v>
      </c>
      <c r="H11" s="12">
        <v>1</v>
      </c>
      <c r="I11" s="12">
        <f>IF($D$6&gt;H11,H11+1,"")</f>
        <v>2</v>
      </c>
      <c r="J11" s="12">
        <f>IF($D$6&gt;I11,I11+1,"")</f>
        <v>3</v>
      </c>
      <c r="K11" s="12">
        <f>IF($D$6&gt;J11,J11+1,"")</f>
        <v>4</v>
      </c>
      <c r="L11" s="12">
        <f>IF($D$6&gt;K11,K11+1,"")</f>
        <v>5</v>
      </c>
      <c r="M11" s="12">
        <f>IF($D$6&gt;L11,L11+1,"")</f>
        <v>6</v>
      </c>
      <c r="N11" s="12">
        <f>IF($D$6&gt;M11,M11+1,"")</f>
        <v>7</v>
      </c>
      <c r="O11" s="12">
        <f>IF($D$6&gt;N11,N11+1,"")</f>
        <v>8</v>
      </c>
      <c r="P11" s="12">
        <f>IF($D$6&gt;O11,O11+1,"")</f>
        <v>9</v>
      </c>
      <c r="Q11" s="12">
        <f>IF($D$6&gt;P11,P11+1,"")</f>
        <v>10</v>
      </c>
      <c r="R11" s="12">
        <v>11</v>
      </c>
      <c r="S11" s="12">
        <v>12</v>
      </c>
      <c r="T11" s="12">
        <v>13</v>
      </c>
      <c r="U11" s="12">
        <v>14</v>
      </c>
      <c r="V11" s="5" t="str">
        <f>IF($D$6&gt;U11,U11+1,"")</f>
        <v/>
      </c>
      <c r="W11" s="5" t="str">
        <f>IF($D$6&gt;V11,V11+1,"")</f>
        <v/>
      </c>
      <c r="X11" s="5" t="str">
        <f>IF($D$6&gt;W11,W11+1,"")</f>
        <v/>
      </c>
      <c r="Y11" s="5" t="str">
        <f>IF($D$6&gt;X11,X11+1,"")</f>
        <v/>
      </c>
      <c r="Z11" s="5" t="str">
        <f>IF($D$6&gt;Y11,Y11+1,"")</f>
        <v/>
      </c>
      <c r="AA11" s="5" t="str">
        <f>IF($D$6&gt;Z11,Z11+1,"")</f>
        <v/>
      </c>
      <c r="AB11" s="5" t="str">
        <f>IF($D$6&gt;AA11,AA11+1,"")</f>
        <v/>
      </c>
      <c r="AC11" s="5" t="str">
        <f>IF($D$6&gt;AB11,AB11+1,"")</f>
        <v/>
      </c>
      <c r="AD11" s="5" t="str">
        <f>IF($D$6&gt;AC11,AC11+1,"")</f>
        <v/>
      </c>
      <c r="AE11" s="5" t="str">
        <f>IF($D$6&gt;AD11,AD11+1,"")</f>
        <v/>
      </c>
      <c r="AF11" s="5" t="str">
        <f>IF($D$6&gt;AE11,AE11+1,"")</f>
        <v/>
      </c>
    </row>
    <row r="12" spans="1:34" ht="12.75" customHeight="1" x14ac:dyDescent="0.25">
      <c r="B12" s="18" t="s">
        <v>23</v>
      </c>
      <c r="C12" s="18" t="s">
        <v>29</v>
      </c>
      <c r="D12" s="16" t="s">
        <v>16</v>
      </c>
      <c r="E12" s="27" t="s">
        <v>43</v>
      </c>
      <c r="F12" s="16" t="s">
        <v>17</v>
      </c>
      <c r="G12" s="20">
        <v>5</v>
      </c>
      <c r="H12" s="20">
        <v>5</v>
      </c>
      <c r="I12" s="20">
        <v>4</v>
      </c>
      <c r="J12" s="20">
        <v>3</v>
      </c>
      <c r="K12" s="20">
        <v>2</v>
      </c>
      <c r="L12" s="20">
        <v>1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 t="str">
        <f t="shared" ref="AE12:AF12" si="0">IF(OR(AE$11="",$G12=""),"",AD12)</f>
        <v/>
      </c>
      <c r="AF12" s="1" t="str">
        <f t="shared" si="0"/>
        <v/>
      </c>
    </row>
    <row r="13" spans="1:34" ht="12.75" customHeight="1" x14ac:dyDescent="0.25">
      <c r="B13" s="18" t="s">
        <v>24</v>
      </c>
      <c r="C13" s="19" t="s">
        <v>30</v>
      </c>
      <c r="D13" s="16" t="s">
        <v>18</v>
      </c>
      <c r="E13" s="27" t="s">
        <v>43</v>
      </c>
      <c r="F13" s="16" t="s">
        <v>17</v>
      </c>
      <c r="G13" s="21">
        <v>5</v>
      </c>
      <c r="H13" s="21">
        <v>5</v>
      </c>
      <c r="I13" s="21">
        <v>5</v>
      </c>
      <c r="J13" s="21">
        <v>4</v>
      </c>
      <c r="K13" s="21">
        <v>3</v>
      </c>
      <c r="L13" s="21">
        <v>2</v>
      </c>
      <c r="M13" s="21">
        <v>1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 t="str">
        <f t="shared" ref="AE13:AF13" si="1">IF(OR(AE$11="",$G13=""),"",AD13)</f>
        <v/>
      </c>
      <c r="AF13" s="1" t="str">
        <f t="shared" si="1"/>
        <v/>
      </c>
    </row>
    <row r="14" spans="1:34" ht="12.75" customHeight="1" x14ac:dyDescent="0.25">
      <c r="B14" s="18" t="s">
        <v>25</v>
      </c>
      <c r="C14" s="18" t="s">
        <v>31</v>
      </c>
      <c r="D14" s="16" t="s">
        <v>19</v>
      </c>
      <c r="E14" s="27" t="s">
        <v>43</v>
      </c>
      <c r="F14" s="16" t="s">
        <v>17</v>
      </c>
      <c r="G14" s="20">
        <v>3</v>
      </c>
      <c r="H14" s="20">
        <v>3</v>
      </c>
      <c r="I14" s="20">
        <v>3</v>
      </c>
      <c r="J14" s="20">
        <v>3</v>
      </c>
      <c r="K14" s="20">
        <v>2</v>
      </c>
      <c r="L14" s="20">
        <v>2</v>
      </c>
      <c r="M14" s="20">
        <v>2</v>
      </c>
      <c r="N14" s="20">
        <v>1</v>
      </c>
      <c r="O14" s="20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 t="str">
        <f t="shared" ref="AE14:AF14" si="2">IF(OR(AE$11="",$G14=""),"",AD14)</f>
        <v/>
      </c>
      <c r="AF14" s="1" t="str">
        <f t="shared" si="2"/>
        <v/>
      </c>
    </row>
    <row r="15" spans="1:34" ht="12.75" customHeight="1" x14ac:dyDescent="0.25">
      <c r="B15" s="18" t="s">
        <v>26</v>
      </c>
      <c r="C15" s="19" t="s">
        <v>32</v>
      </c>
      <c r="D15" s="16" t="s">
        <v>20</v>
      </c>
      <c r="E15" s="27" t="s">
        <v>43</v>
      </c>
      <c r="F15" s="16" t="s">
        <v>17</v>
      </c>
      <c r="G15" s="21">
        <v>5</v>
      </c>
      <c r="H15" s="21">
        <v>5</v>
      </c>
      <c r="I15" s="21">
        <v>5</v>
      </c>
      <c r="J15" s="21">
        <v>5</v>
      </c>
      <c r="K15" s="21">
        <v>5</v>
      </c>
      <c r="L15" s="21">
        <v>4</v>
      </c>
      <c r="M15" s="21">
        <v>3</v>
      </c>
      <c r="N15" s="21">
        <v>3</v>
      </c>
      <c r="O15" s="21">
        <v>2</v>
      </c>
      <c r="P15" s="21">
        <v>1</v>
      </c>
      <c r="Q15" s="21">
        <v>1</v>
      </c>
      <c r="R15" s="21">
        <v>0</v>
      </c>
      <c r="S15" s="21">
        <v>0</v>
      </c>
      <c r="T15" s="21">
        <v>0</v>
      </c>
      <c r="U15" s="21">
        <v>0</v>
      </c>
      <c r="V15" s="1"/>
      <c r="W15" s="1"/>
      <c r="X15" s="1"/>
      <c r="Y15" s="1"/>
      <c r="Z15" s="1"/>
      <c r="AA15" s="1"/>
      <c r="AB15" s="1"/>
      <c r="AC15" s="1"/>
      <c r="AD15" s="1"/>
      <c r="AE15" s="1" t="str">
        <f t="shared" ref="AE15:AF15" si="3">IF(OR(AE$11="",$G15=""),"",AD15)</f>
        <v/>
      </c>
      <c r="AF15" s="1" t="str">
        <f t="shared" si="3"/>
        <v/>
      </c>
    </row>
    <row r="16" spans="1:34" ht="12.75" customHeight="1" x14ac:dyDescent="0.25">
      <c r="B16" s="18" t="s">
        <v>27</v>
      </c>
      <c r="C16" s="19" t="s">
        <v>41</v>
      </c>
      <c r="D16" s="16" t="s">
        <v>21</v>
      </c>
      <c r="E16" s="27" t="s">
        <v>44</v>
      </c>
      <c r="F16" s="16" t="s">
        <v>17</v>
      </c>
      <c r="G16" s="20">
        <v>3</v>
      </c>
      <c r="H16" s="20">
        <v>3</v>
      </c>
      <c r="I16" s="20">
        <v>3</v>
      </c>
      <c r="J16" s="20">
        <v>3</v>
      </c>
      <c r="K16" s="20">
        <v>3</v>
      </c>
      <c r="L16" s="20">
        <v>3</v>
      </c>
      <c r="M16" s="20">
        <v>3</v>
      </c>
      <c r="N16" s="20">
        <v>2</v>
      </c>
      <c r="O16" s="20">
        <v>2</v>
      </c>
      <c r="P16" s="20">
        <v>2</v>
      </c>
      <c r="Q16" s="20">
        <v>1</v>
      </c>
      <c r="R16" s="20">
        <v>1</v>
      </c>
      <c r="S16" s="20">
        <v>0</v>
      </c>
      <c r="T16" s="20">
        <v>0</v>
      </c>
      <c r="U16" s="20">
        <v>0</v>
      </c>
      <c r="V16" s="1"/>
      <c r="W16" s="1"/>
      <c r="X16" s="1"/>
      <c r="Y16" s="1"/>
      <c r="Z16" s="1"/>
      <c r="AA16" s="1"/>
      <c r="AB16" s="1"/>
      <c r="AC16" s="1"/>
      <c r="AD16" s="1"/>
      <c r="AE16" s="1" t="str">
        <f t="shared" ref="AE16:AF16" si="4">IF(OR(AE$11="",$G16=""),"",AD16)</f>
        <v/>
      </c>
      <c r="AF16" s="1" t="str">
        <f t="shared" si="4"/>
        <v/>
      </c>
    </row>
    <row r="17" spans="2:32" ht="12.75" customHeight="1" x14ac:dyDescent="0.25">
      <c r="B17" s="18" t="s">
        <v>28</v>
      </c>
      <c r="C17" s="19" t="s">
        <v>33</v>
      </c>
      <c r="D17" s="16" t="s">
        <v>22</v>
      </c>
      <c r="E17" s="28" t="s">
        <v>45</v>
      </c>
      <c r="F17" s="16" t="s">
        <v>17</v>
      </c>
      <c r="G17" s="21">
        <v>3</v>
      </c>
      <c r="H17" s="21">
        <v>3</v>
      </c>
      <c r="I17" s="21">
        <v>3</v>
      </c>
      <c r="J17" s="21">
        <v>3</v>
      </c>
      <c r="K17" s="21">
        <v>3</v>
      </c>
      <c r="L17" s="21">
        <v>3</v>
      </c>
      <c r="M17" s="21">
        <v>3</v>
      </c>
      <c r="N17" s="21">
        <v>3</v>
      </c>
      <c r="O17" s="21">
        <v>3</v>
      </c>
      <c r="P17" s="21">
        <v>2</v>
      </c>
      <c r="Q17" s="21">
        <v>2</v>
      </c>
      <c r="R17" s="21">
        <v>1</v>
      </c>
      <c r="S17" s="21">
        <v>1</v>
      </c>
      <c r="T17" s="21">
        <v>1</v>
      </c>
      <c r="U17" s="21">
        <v>0</v>
      </c>
      <c r="V17" s="1"/>
      <c r="W17" s="1"/>
      <c r="X17" s="1"/>
      <c r="Y17" s="1"/>
      <c r="Z17" s="1"/>
      <c r="AA17" s="1"/>
      <c r="AB17" s="1"/>
      <c r="AC17" s="1"/>
      <c r="AD17" s="1"/>
      <c r="AE17" s="1" t="str">
        <f t="shared" ref="AE17:AF17" si="5">IF(OR(AE$11="",$G17=""),"",AD17)</f>
        <v/>
      </c>
      <c r="AF17" s="1" t="str">
        <f t="shared" si="5"/>
        <v/>
      </c>
    </row>
    <row r="18" spans="2:32" ht="12.75" customHeight="1" x14ac:dyDescent="0.25">
      <c r="D18" s="1"/>
      <c r="F18" s="2" t="str">
        <f t="shared" ref="F18:F41" si="6">IF(C18&lt;&gt;"","Planned","")</f>
        <v/>
      </c>
      <c r="G18" s="1"/>
      <c r="H18" s="1" t="str">
        <f t="shared" ref="H18:H41" si="7">IF(OR(H$11="",$G18=""),"",G18)</f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tr">
        <f>IF(OR(AE$11="",$G18=""),"",AD18)</f>
        <v/>
      </c>
      <c r="AF18" s="1" t="str">
        <f>IF(OR(AF$11="",$G18=""),"",AE18)</f>
        <v/>
      </c>
    </row>
    <row r="19" spans="2:32" ht="12.75" customHeight="1" x14ac:dyDescent="0.25">
      <c r="D19" s="1"/>
      <c r="F19" s="2" t="str">
        <f t="shared" si="6"/>
        <v/>
      </c>
      <c r="G19" s="1"/>
      <c r="H19" s="1" t="str">
        <f t="shared" si="7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tr">
        <f>IF(OR(AE$11="",$G19=""),"",AD19)</f>
        <v/>
      </c>
      <c r="AF19" s="1" t="str">
        <f>IF(OR(AF$11="",$G19=""),"",AE19)</f>
        <v/>
      </c>
    </row>
    <row r="20" spans="2:32" ht="12.75" customHeight="1" x14ac:dyDescent="0.25">
      <c r="D20" s="1"/>
      <c r="F20" s="2" t="str">
        <f t="shared" si="6"/>
        <v/>
      </c>
      <c r="G20" s="1"/>
      <c r="H20" s="1" t="str">
        <f t="shared" si="7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tr">
        <f>IF(OR(AE$11="",$G20=""),"",AD20)</f>
        <v/>
      </c>
      <c r="AF20" s="1" t="str">
        <f>IF(OR(AF$11="",$G20=""),"",AE20)</f>
        <v/>
      </c>
    </row>
    <row r="21" spans="2:32" ht="12.75" customHeight="1" x14ac:dyDescent="0.25">
      <c r="D21" s="1"/>
      <c r="F21" s="2" t="str">
        <f t="shared" si="6"/>
        <v/>
      </c>
      <c r="G21" s="1"/>
      <c r="H21" s="1" t="str">
        <f t="shared" si="7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tr">
        <f>IF(OR(AE$11="",$G21=""),"",AD21)</f>
        <v/>
      </c>
      <c r="AF21" s="1" t="str">
        <f>IF(OR(AF$11="",$G21=""),"",AE21)</f>
        <v/>
      </c>
    </row>
    <row r="22" spans="2:32" ht="12.75" customHeight="1" x14ac:dyDescent="0.25">
      <c r="D22" s="1"/>
      <c r="F22" s="2" t="str">
        <f t="shared" si="6"/>
        <v/>
      </c>
      <c r="G22" s="1"/>
      <c r="H22" s="1" t="str">
        <f t="shared" si="7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>IF(OR(AE$11="",$G22=""),"",AD22)</f>
        <v/>
      </c>
      <c r="AF22" s="1" t="str">
        <f>IF(OR(AF$11="",$G22=""),"",AE22)</f>
        <v/>
      </c>
    </row>
    <row r="23" spans="2:32" ht="12.75" customHeight="1" x14ac:dyDescent="0.25">
      <c r="D23" s="1"/>
      <c r="F23" s="2" t="str">
        <f t="shared" si="6"/>
        <v/>
      </c>
      <c r="G23" s="1"/>
      <c r="H23" s="1" t="str">
        <f t="shared" si="7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>IF(OR(AE$11="",$G23=""),"",AD23)</f>
        <v/>
      </c>
      <c r="AF23" s="1" t="str">
        <f>IF(OR(AF$11="",$G23=""),"",AE23)</f>
        <v/>
      </c>
    </row>
    <row r="24" spans="2:32" ht="12.75" customHeight="1" x14ac:dyDescent="0.25">
      <c r="D24" s="1"/>
      <c r="F24" s="2" t="str">
        <f t="shared" si="6"/>
        <v/>
      </c>
      <c r="G24" s="1"/>
      <c r="H24" s="1" t="str">
        <f t="shared" si="7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>IF(OR(AE$11="",$G24=""),"",AD24)</f>
        <v/>
      </c>
      <c r="AF24" s="1" t="str">
        <f>IF(OR(AF$11="",$G24=""),"",AE24)</f>
        <v/>
      </c>
    </row>
    <row r="25" spans="2:32" ht="12.75" customHeight="1" x14ac:dyDescent="0.25">
      <c r="D25" s="1"/>
      <c r="F25" s="2" t="str">
        <f t="shared" si="6"/>
        <v/>
      </c>
      <c r="G25" s="1"/>
      <c r="H25" s="1" t="str">
        <f t="shared" si="7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>IF(OR(AE$11="",$G25=""),"",AD25)</f>
        <v/>
      </c>
      <c r="AF25" s="1" t="str">
        <f>IF(OR(AF$11="",$G25=""),"",AE25)</f>
        <v/>
      </c>
    </row>
    <row r="26" spans="2:32" ht="12.75" customHeight="1" x14ac:dyDescent="0.25">
      <c r="D26" s="1"/>
      <c r="F26" s="2" t="str">
        <f t="shared" si="6"/>
        <v/>
      </c>
      <c r="G26" s="1"/>
      <c r="H26" s="1" t="str">
        <f t="shared" si="7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>IF(OR(AE$11="",$G26=""),"",AD26)</f>
        <v/>
      </c>
      <c r="AF26" s="1" t="str">
        <f>IF(OR(AF$11="",$G26=""),"",AE26)</f>
        <v/>
      </c>
    </row>
    <row r="27" spans="2:32" ht="12.75" customHeight="1" x14ac:dyDescent="0.25">
      <c r="D27" s="1"/>
      <c r="F27" s="2" t="str">
        <f t="shared" si="6"/>
        <v/>
      </c>
      <c r="G27" s="1"/>
      <c r="H27" s="1" t="str">
        <f t="shared" si="7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>IF(OR(AE$11="",$G27=""),"",AD27)</f>
        <v/>
      </c>
      <c r="AF27" s="1" t="str">
        <f>IF(OR(AF$11="",$G27=""),"",AE27)</f>
        <v/>
      </c>
    </row>
    <row r="28" spans="2:32" ht="12.75" customHeight="1" x14ac:dyDescent="0.25">
      <c r="D28" s="1"/>
      <c r="F28" s="2" t="str">
        <f t="shared" si="6"/>
        <v/>
      </c>
      <c r="G28" s="1"/>
      <c r="H28" s="1" t="str">
        <f t="shared" si="7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>IF(OR(AE$11="",$G28=""),"",AD28)</f>
        <v/>
      </c>
      <c r="AF28" s="1" t="str">
        <f>IF(OR(AF$11="",$G28=""),"",AE28)</f>
        <v/>
      </c>
    </row>
    <row r="29" spans="2:32" ht="12.75" customHeight="1" x14ac:dyDescent="0.25">
      <c r="D29" s="1"/>
      <c r="F29" s="2" t="str">
        <f t="shared" si="6"/>
        <v/>
      </c>
      <c r="G29" s="1"/>
      <c r="H29" s="1" t="str">
        <f t="shared" si="7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>IF(OR(AE$11="",$G29=""),"",AD29)</f>
        <v/>
      </c>
      <c r="AF29" s="1" t="str">
        <f>IF(OR(AF$11="",$G29=""),"",AE29)</f>
        <v/>
      </c>
    </row>
    <row r="30" spans="2:32" ht="12.75" customHeight="1" x14ac:dyDescent="0.25">
      <c r="D30" s="1"/>
      <c r="F30" s="2" t="str">
        <f t="shared" si="6"/>
        <v/>
      </c>
      <c r="G30" s="1"/>
      <c r="H30" s="1" t="str">
        <f t="shared" si="7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>IF(OR(AE$11="",$G30=""),"",AD30)</f>
        <v/>
      </c>
      <c r="AF30" s="1" t="str">
        <f>IF(OR(AF$11="",$G30=""),"",AE30)</f>
        <v/>
      </c>
    </row>
    <row r="31" spans="2:32" ht="12.75" customHeight="1" x14ac:dyDescent="0.25">
      <c r="D31" s="1"/>
      <c r="F31" s="2" t="str">
        <f t="shared" si="6"/>
        <v/>
      </c>
      <c r="G31" s="1"/>
      <c r="H31" s="1" t="str">
        <f t="shared" si="7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>IF(OR(AE$11="",$G31=""),"",AD31)</f>
        <v/>
      </c>
      <c r="AF31" s="1" t="str">
        <f>IF(OR(AF$11="",$G31=""),"",AE31)</f>
        <v/>
      </c>
    </row>
    <row r="32" spans="2:32" ht="12.75" customHeight="1" x14ac:dyDescent="0.25">
      <c r="D32" s="1"/>
      <c r="F32" s="2" t="str">
        <f t="shared" si="6"/>
        <v/>
      </c>
      <c r="G32" s="1"/>
      <c r="H32" s="1" t="str">
        <f t="shared" si="7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>IF(OR(AE$11="",$G32=""),"",AD32)</f>
        <v/>
      </c>
      <c r="AF32" s="1" t="str">
        <f>IF(OR(AF$11="",$G32=""),"",AE32)</f>
        <v/>
      </c>
    </row>
    <row r="33" spans="4:32" ht="12.75" customHeight="1" x14ac:dyDescent="0.25">
      <c r="D33" s="1"/>
      <c r="F33" s="2" t="str">
        <f t="shared" si="6"/>
        <v/>
      </c>
      <c r="G33" s="1"/>
      <c r="H33" s="1" t="str">
        <f t="shared" si="7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>IF(OR(AE$11="",$G33=""),"",AD33)</f>
        <v/>
      </c>
      <c r="AF33" s="1" t="str">
        <f>IF(OR(AF$11="",$G33=""),"",AE33)</f>
        <v/>
      </c>
    </row>
    <row r="34" spans="4:32" ht="12.75" customHeight="1" x14ac:dyDescent="0.25">
      <c r="D34" s="1"/>
      <c r="F34" s="2" t="str">
        <f t="shared" si="6"/>
        <v/>
      </c>
      <c r="G34" s="1"/>
      <c r="H34" s="1" t="str">
        <f t="shared" si="7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>IF(OR(AE$11="",$G34=""),"",AD34)</f>
        <v/>
      </c>
      <c r="AF34" s="1" t="str">
        <f>IF(OR(AF$11="",$G34=""),"",AE34)</f>
        <v/>
      </c>
    </row>
    <row r="35" spans="4:32" ht="12.75" customHeight="1" x14ac:dyDescent="0.25">
      <c r="D35" s="1"/>
      <c r="F35" s="2" t="str">
        <f t="shared" si="6"/>
        <v/>
      </c>
      <c r="G35" s="1"/>
      <c r="H35" s="1" t="str">
        <f t="shared" si="7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>IF(OR(AE$11="",$G35=""),"",AD35)</f>
        <v/>
      </c>
      <c r="AF35" s="1" t="str">
        <f>IF(OR(AF$11="",$G35=""),"",AE35)</f>
        <v/>
      </c>
    </row>
    <row r="36" spans="4:32" ht="12.75" customHeight="1" x14ac:dyDescent="0.25">
      <c r="D36" s="1"/>
      <c r="F36" s="2" t="str">
        <f t="shared" si="6"/>
        <v/>
      </c>
      <c r="G36" s="1"/>
      <c r="H36" s="1" t="str">
        <f t="shared" si="7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>IF(OR(AE$11="",$G36=""),"",AD36)</f>
        <v/>
      </c>
      <c r="AF36" s="1" t="str">
        <f>IF(OR(AF$11="",$G36=""),"",AE36)</f>
        <v/>
      </c>
    </row>
    <row r="37" spans="4:32" ht="12.75" customHeight="1" x14ac:dyDescent="0.25">
      <c r="D37" s="1"/>
      <c r="F37" s="2" t="str">
        <f t="shared" si="6"/>
        <v/>
      </c>
      <c r="G37" s="1"/>
      <c r="H37" s="1" t="str">
        <f t="shared" si="7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>IF(OR(AE$11="",$G37=""),"",AD37)</f>
        <v/>
      </c>
      <c r="AF37" s="1" t="str">
        <f>IF(OR(AF$11="",$G37=""),"",AE37)</f>
        <v/>
      </c>
    </row>
    <row r="38" spans="4:32" ht="12.75" customHeight="1" x14ac:dyDescent="0.25">
      <c r="D38" s="1"/>
      <c r="F38" s="2" t="str">
        <f t="shared" si="6"/>
        <v/>
      </c>
      <c r="G38" s="1"/>
      <c r="H38" s="1" t="str">
        <f t="shared" si="7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>IF(OR(AE$11="",$G38=""),"",AD38)</f>
        <v/>
      </c>
      <c r="AF38" s="1" t="str">
        <f>IF(OR(AF$11="",$G38=""),"",AE38)</f>
        <v/>
      </c>
    </row>
    <row r="39" spans="4:32" ht="12.75" customHeight="1" x14ac:dyDescent="0.25">
      <c r="D39" s="1"/>
      <c r="F39" s="2" t="str">
        <f t="shared" si="6"/>
        <v/>
      </c>
      <c r="G39" s="1"/>
      <c r="H39" s="1" t="str">
        <f t="shared" si="7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>IF(OR(AE$11="",$G39=""),"",AD39)</f>
        <v/>
      </c>
      <c r="AF39" s="1" t="str">
        <f>IF(OR(AF$11="",$G39=""),"",AE39)</f>
        <v/>
      </c>
    </row>
    <row r="40" spans="4:32" ht="12.75" customHeight="1" x14ac:dyDescent="0.25">
      <c r="D40" s="1"/>
      <c r="F40" s="2" t="str">
        <f t="shared" si="6"/>
        <v/>
      </c>
      <c r="G40" s="1"/>
      <c r="H40" s="1" t="str">
        <f t="shared" si="7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>IF(OR(AE$11="",$G40=""),"",AD40)</f>
        <v/>
      </c>
      <c r="AF40" s="1" t="str">
        <f>IF(OR(AF$11="",$G40=""),"",AE40)</f>
        <v/>
      </c>
    </row>
    <row r="41" spans="4:32" ht="12.75" customHeight="1" x14ac:dyDescent="0.25">
      <c r="D41" s="1"/>
      <c r="F41" s="2" t="str">
        <f t="shared" si="6"/>
        <v/>
      </c>
      <c r="G41" s="1"/>
      <c r="H41" s="1" t="str">
        <f t="shared" si="7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>IF(OR(AE$11="",$G41=""),"",AD41)</f>
        <v/>
      </c>
      <c r="AF41" s="1" t="str">
        <f>IF(OR(AF$11="",$G41=""),"",AE41)</f>
        <v/>
      </c>
    </row>
    <row r="42" spans="4:32" ht="12.75" customHeight="1" x14ac:dyDescent="0.25"/>
    <row r="43" spans="4:32" ht="12.75" customHeight="1" x14ac:dyDescent="0.25"/>
    <row r="44" spans="4:32" ht="12.75" customHeight="1" x14ac:dyDescent="0.25"/>
    <row r="45" spans="4:32" ht="12.75" customHeight="1" x14ac:dyDescent="0.25"/>
    <row r="46" spans="4:32" ht="12.75" customHeight="1" x14ac:dyDescent="0.25"/>
    <row r="47" spans="4:32" ht="12.75" customHeight="1" x14ac:dyDescent="0.25"/>
    <row r="48" spans="4:32" ht="12.75" customHeight="1" x14ac:dyDescent="0.25"/>
    <row r="49" spans="4:32" ht="12.6" customHeight="1" x14ac:dyDescent="0.25"/>
    <row r="50" spans="4:32" ht="12.75" customHeight="1" x14ac:dyDescent="0.25"/>
    <row r="51" spans="4:32" ht="12.75" customHeight="1" x14ac:dyDescent="0.25"/>
    <row r="52" spans="4:32" ht="12.75" customHeight="1" x14ac:dyDescent="0.25"/>
    <row r="53" spans="4:32" ht="12.75" customHeight="1" x14ac:dyDescent="0.25"/>
    <row r="54" spans="4:32" ht="12.75" customHeight="1" x14ac:dyDescent="0.25"/>
    <row r="55" spans="4:32" ht="12.75" customHeight="1" x14ac:dyDescent="0.25"/>
    <row r="56" spans="4:32" ht="12.75" customHeight="1" x14ac:dyDescent="0.25"/>
    <row r="57" spans="4:32" ht="12.75" customHeight="1" x14ac:dyDescent="0.25"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4:32" ht="12.75" customHeight="1" x14ac:dyDescent="0.25"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4:32" ht="12.75" customHeight="1" x14ac:dyDescent="0.25"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4:32" ht="12.75" customHeight="1" x14ac:dyDescent="0.25"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4:32" ht="12.75" customHeight="1" x14ac:dyDescent="0.25"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4:32" ht="12.75" customHeight="1" x14ac:dyDescent="0.25"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4:32" ht="12.75" customHeight="1" x14ac:dyDescent="0.25"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4:32" ht="12.75" customHeight="1" x14ac:dyDescent="0.25"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4:32" ht="12.75" customHeight="1" x14ac:dyDescent="0.25"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4:32" ht="12.75" customHeight="1" x14ac:dyDescent="0.25"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4:32" ht="12.75" customHeight="1" x14ac:dyDescent="0.25"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4:32" ht="12.75" customHeight="1" x14ac:dyDescent="0.25"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4:32" ht="12.75" customHeight="1" x14ac:dyDescent="0.25"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4:32" ht="12.75" customHeight="1" x14ac:dyDescent="0.25"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4:32" ht="12.75" customHeight="1" x14ac:dyDescent="0.25"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4:32" ht="12.75" customHeight="1" x14ac:dyDescent="0.25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4:32" ht="12.75" customHeight="1" x14ac:dyDescent="0.25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4:32" ht="12.75" customHeight="1" x14ac:dyDescent="0.25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4:32" ht="12.75" customHeight="1" x14ac:dyDescent="0.25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4:32" ht="12.75" customHeight="1" x14ac:dyDescent="0.25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4:32" ht="12.75" customHeight="1" x14ac:dyDescent="0.25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4:32" ht="12.75" customHeight="1" x14ac:dyDescent="0.25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4:32" ht="12.75" customHeight="1" x14ac:dyDescent="0.25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4:32" ht="12.75" customHeight="1" x14ac:dyDescent="0.25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4:32" ht="12.75" customHeight="1" x14ac:dyDescent="0.25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4:32" ht="12.75" customHeight="1" x14ac:dyDescent="0.25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4:32" ht="12.75" customHeight="1" x14ac:dyDescent="0.25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4:32" ht="12.75" customHeight="1" x14ac:dyDescent="0.25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4:32" ht="12.75" customHeight="1" x14ac:dyDescent="0.25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4:32" ht="12.75" customHeight="1" x14ac:dyDescent="0.25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4:32" ht="12.75" customHeight="1" x14ac:dyDescent="0.25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4:32" ht="12.75" customHeight="1" x14ac:dyDescent="0.25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4:32" ht="12.75" customHeight="1" x14ac:dyDescent="0.25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4:32" ht="12.75" customHeight="1" x14ac:dyDescent="0.25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4:32" ht="12.75" customHeight="1" x14ac:dyDescent="0.25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4:32" ht="12.75" customHeight="1" x14ac:dyDescent="0.25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4:32" ht="12.75" customHeight="1" x14ac:dyDescent="0.25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4:32" ht="12.75" customHeight="1" x14ac:dyDescent="0.25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4:32" ht="12.75" customHeight="1" x14ac:dyDescent="0.25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4:32" ht="12.75" customHeight="1" x14ac:dyDescent="0.25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4:32" ht="12.75" customHeight="1" x14ac:dyDescent="0.25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4:32" ht="12.75" customHeight="1" x14ac:dyDescent="0.25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4:32" ht="12.75" customHeight="1" x14ac:dyDescent="0.25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4:32" ht="12.75" customHeight="1" x14ac:dyDescent="0.25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4:32" ht="12.75" customHeight="1" x14ac:dyDescent="0.25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4:32" ht="12.75" customHeight="1" x14ac:dyDescent="0.25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4:32" ht="12.75" customHeight="1" x14ac:dyDescent="0.25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4:32" ht="12.75" customHeight="1" x14ac:dyDescent="0.25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4:32" ht="12.75" customHeight="1" x14ac:dyDescent="0.25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4:32" ht="12.75" customHeight="1" x14ac:dyDescent="0.25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4:32" ht="12.75" customHeight="1" x14ac:dyDescent="0.25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4:32" ht="12.75" customHeight="1" x14ac:dyDescent="0.25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4:32" ht="12.75" customHeight="1" x14ac:dyDescent="0.25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4:32" ht="12.75" customHeight="1" x14ac:dyDescent="0.25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4:32" ht="12.75" customHeight="1" x14ac:dyDescent="0.25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4:32" ht="12.75" customHeight="1" x14ac:dyDescent="0.25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4:32" ht="12.75" customHeight="1" x14ac:dyDescent="0.25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4:32" ht="12.75" customHeight="1" x14ac:dyDescent="0.25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4:32" ht="12.75" customHeight="1" x14ac:dyDescent="0.25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4:32" ht="12.75" customHeight="1" x14ac:dyDescent="0.25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4:32" ht="12.75" customHeight="1" x14ac:dyDescent="0.25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4:32" ht="12.75" customHeight="1" x14ac:dyDescent="0.25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4:32" ht="12.75" customHeight="1" x14ac:dyDescent="0.25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4:32" ht="12.75" customHeight="1" x14ac:dyDescent="0.25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4:32" ht="12.75" customHeight="1" x14ac:dyDescent="0.25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4:32" ht="12.75" customHeight="1" x14ac:dyDescent="0.25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4:32" ht="12.75" customHeight="1" x14ac:dyDescent="0.25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4:32" ht="12.75" customHeight="1" x14ac:dyDescent="0.25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4:32" ht="12.75" customHeight="1" x14ac:dyDescent="0.25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4:32" ht="12.75" customHeight="1" x14ac:dyDescent="0.25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4:32" ht="12.75" customHeight="1" x14ac:dyDescent="0.25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4:32" ht="12.75" customHeight="1" x14ac:dyDescent="0.25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4:32" ht="12.75" customHeight="1" x14ac:dyDescent="0.25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4:32" ht="12.75" customHeight="1" x14ac:dyDescent="0.25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4:32" ht="12.75" customHeight="1" x14ac:dyDescent="0.25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4:32" ht="12.75" customHeight="1" x14ac:dyDescent="0.25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4:32" ht="12.75" customHeight="1" x14ac:dyDescent="0.25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4:32" ht="12.75" customHeight="1" x14ac:dyDescent="0.25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4:32" ht="12.75" customHeight="1" x14ac:dyDescent="0.25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4:32" ht="12.75" customHeight="1" x14ac:dyDescent="0.25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4:32" ht="12.75" customHeight="1" x14ac:dyDescent="0.25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4:32" ht="12.75" customHeight="1" x14ac:dyDescent="0.25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4:32" ht="12.75" customHeight="1" x14ac:dyDescent="0.25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4:32" ht="12.75" customHeight="1" x14ac:dyDescent="0.25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4:32" ht="12.75" customHeight="1" x14ac:dyDescent="0.25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4:32" ht="12.75" customHeight="1" x14ac:dyDescent="0.25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4:32" ht="12.75" customHeight="1" x14ac:dyDescent="0.25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4:32" ht="12.75" customHeight="1" x14ac:dyDescent="0.25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4:32" ht="12.75" customHeight="1" x14ac:dyDescent="0.25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4:32" ht="12.75" customHeight="1" x14ac:dyDescent="0.25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4:32" ht="12.75" customHeight="1" x14ac:dyDescent="0.25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4:32" ht="12.75" customHeight="1" x14ac:dyDescent="0.25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4:32" ht="12.75" customHeight="1" x14ac:dyDescent="0.25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4:32" ht="12.75" customHeight="1" x14ac:dyDescent="0.25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4:32" ht="12.75" customHeight="1" x14ac:dyDescent="0.25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4:32" ht="12.75" customHeight="1" x14ac:dyDescent="0.25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4:32" ht="12.75" customHeight="1" x14ac:dyDescent="0.25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4:32" ht="12.75" customHeight="1" x14ac:dyDescent="0.25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4:32" ht="12.75" customHeight="1" x14ac:dyDescent="0.25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4:32" ht="12.75" customHeight="1" x14ac:dyDescent="0.25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4:32" ht="12.75" customHeight="1" x14ac:dyDescent="0.25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4:32" ht="12.75" customHeight="1" x14ac:dyDescent="0.25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4:32" ht="12.75" customHeight="1" x14ac:dyDescent="0.25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4:32" ht="12.75" customHeight="1" x14ac:dyDescent="0.25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4:32" ht="12.75" customHeight="1" x14ac:dyDescent="0.25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4:32" ht="12.75" customHeight="1" x14ac:dyDescent="0.25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4:32" ht="12.75" customHeight="1" x14ac:dyDescent="0.25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4:32" ht="12.75" customHeight="1" x14ac:dyDescent="0.25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4:32" ht="12.75" customHeight="1" x14ac:dyDescent="0.25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4:32" ht="12.75" customHeight="1" x14ac:dyDescent="0.25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4:32" ht="12.75" customHeight="1" x14ac:dyDescent="0.25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4:32" ht="12.75" customHeight="1" x14ac:dyDescent="0.25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4:32" ht="12.75" customHeight="1" x14ac:dyDescent="0.25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4:32" ht="12.75" customHeight="1" x14ac:dyDescent="0.25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4:32" ht="12.75" customHeight="1" x14ac:dyDescent="0.25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4:32" ht="12.75" customHeight="1" x14ac:dyDescent="0.25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4:32" ht="12.75" customHeight="1" x14ac:dyDescent="0.25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4:32" ht="12.75" customHeight="1" x14ac:dyDescent="0.25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4:32" ht="12.75" customHeight="1" x14ac:dyDescent="0.25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4:32" ht="12.75" customHeight="1" x14ac:dyDescent="0.25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4:32" ht="12.75" customHeight="1" x14ac:dyDescent="0.25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4:32" ht="12.75" customHeight="1" x14ac:dyDescent="0.25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4:32" ht="12.75" customHeight="1" x14ac:dyDescent="0.25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4:32" ht="12.75" customHeight="1" x14ac:dyDescent="0.25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4:32" ht="12.75" customHeight="1" x14ac:dyDescent="0.25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4:32" ht="12.75" customHeight="1" x14ac:dyDescent="0.25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4:32" ht="12.75" customHeight="1" x14ac:dyDescent="0.25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4:32" ht="12.75" customHeight="1" x14ac:dyDescent="0.25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4:32" ht="12.75" customHeight="1" x14ac:dyDescent="0.25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4:32" ht="12.75" customHeight="1" x14ac:dyDescent="0.25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4:32" ht="12.75" customHeight="1" x14ac:dyDescent="0.25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4:32" ht="12.75" customHeight="1" x14ac:dyDescent="0.25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4:32" ht="12.75" customHeight="1" x14ac:dyDescent="0.25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4:32" ht="12.75" customHeight="1" x14ac:dyDescent="0.25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4:32" ht="12.75" customHeight="1" x14ac:dyDescent="0.25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4:32" ht="12.75" customHeight="1" x14ac:dyDescent="0.25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4:32" ht="12.75" customHeight="1" x14ac:dyDescent="0.25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4:32" ht="12.75" customHeight="1" x14ac:dyDescent="0.25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4:32" ht="12.75" customHeight="1" x14ac:dyDescent="0.25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4:32" ht="12.75" customHeight="1" x14ac:dyDescent="0.25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4:32" ht="12.75" customHeight="1" x14ac:dyDescent="0.25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4:32" ht="12.75" customHeight="1" x14ac:dyDescent="0.25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4:32" ht="12.75" customHeight="1" x14ac:dyDescent="0.25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4:32" ht="12.75" customHeight="1" x14ac:dyDescent="0.25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4:32" ht="12.75" customHeight="1" x14ac:dyDescent="0.25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4:32" ht="12.75" customHeight="1" x14ac:dyDescent="0.25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4:32" ht="12.75" customHeight="1" x14ac:dyDescent="0.25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4:32" ht="12.75" customHeight="1" x14ac:dyDescent="0.25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4:32" ht="12.75" customHeight="1" x14ac:dyDescent="0.25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4:32" ht="12.75" customHeight="1" x14ac:dyDescent="0.25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4:32" ht="12.75" customHeight="1" x14ac:dyDescent="0.25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4:32" ht="12.75" customHeight="1" x14ac:dyDescent="0.25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4:32" ht="12.75" customHeight="1" x14ac:dyDescent="0.25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4:32" ht="12.75" customHeight="1" x14ac:dyDescent="0.25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4:32" ht="12.75" customHeight="1" x14ac:dyDescent="0.25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4:32" ht="12.75" customHeight="1" x14ac:dyDescent="0.25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4:32" ht="12.75" customHeight="1" x14ac:dyDescent="0.25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4:32" ht="12.75" customHeight="1" x14ac:dyDescent="0.25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4:32" ht="12.75" customHeight="1" x14ac:dyDescent="0.25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4:32" ht="12.75" customHeight="1" x14ac:dyDescent="0.25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4:32" ht="12.75" customHeight="1" x14ac:dyDescent="0.25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4:32" ht="12.75" customHeight="1" x14ac:dyDescent="0.25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4:32" ht="12.75" customHeight="1" x14ac:dyDescent="0.25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4:32" ht="12.75" customHeight="1" x14ac:dyDescent="0.25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4:32" ht="12.75" customHeight="1" x14ac:dyDescent="0.25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4:32" ht="12.75" customHeight="1" x14ac:dyDescent="0.25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4:32" ht="12.75" customHeight="1" x14ac:dyDescent="0.25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4:32" ht="12.75" customHeight="1" x14ac:dyDescent="0.25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4:32" ht="12.75" customHeight="1" x14ac:dyDescent="0.25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4:32" ht="12.75" customHeight="1" x14ac:dyDescent="0.25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4:32" ht="12.75" customHeight="1" x14ac:dyDescent="0.25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4:32" ht="12.75" customHeight="1" x14ac:dyDescent="0.25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4:32" ht="12.75" customHeight="1" x14ac:dyDescent="0.25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4:32" ht="12.75" customHeight="1" x14ac:dyDescent="0.25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4:32" ht="12.75" customHeight="1" x14ac:dyDescent="0.25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4:32" ht="12.75" customHeight="1" x14ac:dyDescent="0.25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4:32" ht="12.75" customHeight="1" x14ac:dyDescent="0.25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4:32" ht="12.75" customHeight="1" x14ac:dyDescent="0.25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4:32" ht="12.75" customHeight="1" x14ac:dyDescent="0.25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4:32" ht="12.75" customHeight="1" x14ac:dyDescent="0.25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4:32" ht="12.75" customHeight="1" x14ac:dyDescent="0.25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4:32" ht="12.75" customHeight="1" x14ac:dyDescent="0.25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4:32" ht="12.75" customHeight="1" x14ac:dyDescent="0.25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4:32" ht="12.75" customHeight="1" x14ac:dyDescent="0.25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4:32" ht="12.75" customHeight="1" x14ac:dyDescent="0.25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4:32" ht="12.75" customHeight="1" x14ac:dyDescent="0.25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4:32" ht="12.75" customHeight="1" x14ac:dyDescent="0.25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4:32" ht="12.75" customHeight="1" x14ac:dyDescent="0.25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4:32" ht="12.75" customHeight="1" x14ac:dyDescent="0.25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4:32" ht="12.75" customHeight="1" x14ac:dyDescent="0.25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4:32" ht="12.75" customHeight="1" x14ac:dyDescent="0.25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4:32" ht="12.75" customHeight="1" x14ac:dyDescent="0.25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4:32" ht="12.75" customHeight="1" x14ac:dyDescent="0.25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4:32" ht="12.75" customHeight="1" x14ac:dyDescent="0.25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4:32" ht="12.75" customHeight="1" x14ac:dyDescent="0.25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4:32" ht="12.75" customHeight="1" x14ac:dyDescent="0.25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4:32" ht="12.75" customHeight="1" x14ac:dyDescent="0.25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4:32" ht="12.75" customHeight="1" x14ac:dyDescent="0.25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4:32" ht="12.75" customHeight="1" x14ac:dyDescent="0.25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4:32" ht="12.75" customHeight="1" x14ac:dyDescent="0.25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4:32" ht="12.75" customHeight="1" x14ac:dyDescent="0.25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4:32" ht="12.75" customHeight="1" x14ac:dyDescent="0.25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4:32" ht="12.75" customHeight="1" x14ac:dyDescent="0.25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4:32" ht="12.75" customHeight="1" x14ac:dyDescent="0.25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4:32" ht="12.75" customHeight="1" x14ac:dyDescent="0.25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4:32" ht="12.75" customHeight="1" x14ac:dyDescent="0.25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4:32" ht="12.75" customHeight="1" x14ac:dyDescent="0.25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4:32" ht="12.75" customHeight="1" x14ac:dyDescent="0.25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4:32" ht="12.75" customHeight="1" x14ac:dyDescent="0.25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4:32" ht="12.75" customHeight="1" x14ac:dyDescent="0.25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4:32" ht="12.75" customHeight="1" x14ac:dyDescent="0.25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4:32" ht="12.75" customHeight="1" x14ac:dyDescent="0.25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4:32" ht="12.75" customHeight="1" x14ac:dyDescent="0.25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4:32" ht="12.75" customHeight="1" x14ac:dyDescent="0.25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4:32" ht="12.75" customHeight="1" x14ac:dyDescent="0.25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4:32" ht="12.75" customHeight="1" x14ac:dyDescent="0.25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4:32" ht="12.75" customHeight="1" x14ac:dyDescent="0.25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4:32" ht="12.75" customHeight="1" x14ac:dyDescent="0.25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4:32" ht="12.75" customHeight="1" x14ac:dyDescent="0.25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4:32" ht="12.75" customHeight="1" x14ac:dyDescent="0.25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4:32" ht="12.75" customHeight="1" x14ac:dyDescent="0.25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4:32" ht="12.75" customHeight="1" x14ac:dyDescent="0.25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4:32" ht="12.75" customHeight="1" x14ac:dyDescent="0.25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4:32" ht="12.75" customHeight="1" x14ac:dyDescent="0.25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4:32" ht="12.75" customHeight="1" x14ac:dyDescent="0.25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4:32" ht="12.75" customHeight="1" x14ac:dyDescent="0.25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4:32" ht="12.75" customHeight="1" x14ac:dyDescent="0.25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4:32" ht="12.75" customHeight="1" x14ac:dyDescent="0.25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4:32" ht="12.75" customHeight="1" x14ac:dyDescent="0.25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4:32" ht="12.75" customHeight="1" x14ac:dyDescent="0.25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4:32" ht="12.75" customHeight="1" x14ac:dyDescent="0.25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4:32" ht="12.75" customHeight="1" x14ac:dyDescent="0.25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4:32" ht="12.75" customHeight="1" x14ac:dyDescent="0.25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4:32" ht="12.75" customHeight="1" x14ac:dyDescent="0.25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4:32" ht="12.75" customHeight="1" x14ac:dyDescent="0.25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4:32" ht="12.75" customHeight="1" x14ac:dyDescent="0.25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4:32" ht="12.75" customHeight="1" x14ac:dyDescent="0.25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4:32" ht="12.75" customHeight="1" x14ac:dyDescent="0.25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4:32" ht="12.75" customHeight="1" x14ac:dyDescent="0.25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4:32" ht="12.75" customHeight="1" x14ac:dyDescent="0.25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4:32" ht="12.75" customHeight="1" x14ac:dyDescent="0.25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4:32" ht="12.75" customHeight="1" x14ac:dyDescent="0.25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4:32" ht="12.75" customHeight="1" x14ac:dyDescent="0.25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4:32" ht="12.75" customHeight="1" x14ac:dyDescent="0.25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4:32" ht="12.75" customHeight="1" x14ac:dyDescent="0.25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4:32" ht="12.75" customHeight="1" x14ac:dyDescent="0.25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4:32" ht="12.75" customHeight="1" x14ac:dyDescent="0.25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4:32" ht="12.75" customHeight="1" x14ac:dyDescent="0.25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4:32" ht="12.75" customHeight="1" x14ac:dyDescent="0.25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4:32" ht="12.75" customHeight="1" x14ac:dyDescent="0.25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4:32" ht="12.75" customHeight="1" x14ac:dyDescent="0.25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4:32" ht="12.75" customHeight="1" x14ac:dyDescent="0.25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4:32" ht="12.75" customHeight="1" x14ac:dyDescent="0.25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4:32" ht="12.75" customHeight="1" x14ac:dyDescent="0.25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4:32" ht="12.75" customHeight="1" x14ac:dyDescent="0.25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4:32" ht="12.75" customHeight="1" x14ac:dyDescent="0.25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4:32" ht="12.75" customHeight="1" x14ac:dyDescent="0.25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4:32" ht="12.75" customHeight="1" x14ac:dyDescent="0.25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4:32" ht="12.75" customHeight="1" x14ac:dyDescent="0.25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4:32" ht="12.75" customHeight="1" x14ac:dyDescent="0.25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4:32" ht="12.75" customHeight="1" x14ac:dyDescent="0.25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4:32" ht="12.75" customHeight="1" x14ac:dyDescent="0.25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4:32" ht="12.75" customHeight="1" x14ac:dyDescent="0.25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4:32" ht="12.75" customHeight="1" x14ac:dyDescent="0.25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4:32" ht="12.75" customHeight="1" x14ac:dyDescent="0.25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4:32" ht="12.75" customHeight="1" x14ac:dyDescent="0.25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4:32" ht="12.75" customHeight="1" x14ac:dyDescent="0.25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4:32" ht="12.75" customHeight="1" x14ac:dyDescent="0.25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4:32" ht="12.75" customHeight="1" x14ac:dyDescent="0.25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4:32" ht="12.75" customHeight="1" x14ac:dyDescent="0.25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4:32" ht="12.75" customHeight="1" x14ac:dyDescent="0.25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4:32" ht="12.75" customHeight="1" x14ac:dyDescent="0.25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4:32" ht="12.75" customHeight="1" x14ac:dyDescent="0.25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4:32" ht="12.75" customHeight="1" x14ac:dyDescent="0.25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4:32" ht="12.75" customHeight="1" x14ac:dyDescent="0.25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4:32" ht="12.75" customHeight="1" x14ac:dyDescent="0.25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4:32" ht="12.75" customHeight="1" x14ac:dyDescent="0.25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4:32" ht="12.75" customHeight="1" x14ac:dyDescent="0.25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4:32" ht="12.75" customHeight="1" x14ac:dyDescent="0.25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4:32" ht="12.75" customHeight="1" x14ac:dyDescent="0.25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4:32" ht="12.75" customHeight="1" x14ac:dyDescent="0.25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4:32" ht="12.75" customHeight="1" x14ac:dyDescent="0.25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4:32" ht="12.75" customHeight="1" x14ac:dyDescent="0.25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4:32" ht="12.75" customHeight="1" x14ac:dyDescent="0.25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4:32" ht="12.75" customHeight="1" x14ac:dyDescent="0.25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4:32" ht="12.75" customHeight="1" x14ac:dyDescent="0.25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4:32" ht="12.75" customHeight="1" x14ac:dyDescent="0.25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4:32" ht="12.75" customHeight="1" x14ac:dyDescent="0.25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4:32" ht="12.75" customHeight="1" x14ac:dyDescent="0.25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4:32" ht="12.75" customHeight="1" x14ac:dyDescent="0.25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4:32" ht="12.75" customHeight="1" x14ac:dyDescent="0.25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4:32" ht="12.75" customHeight="1" x14ac:dyDescent="0.25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4:32" ht="12.75" customHeight="1" x14ac:dyDescent="0.25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4:32" ht="12.75" customHeight="1" x14ac:dyDescent="0.25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4:32" ht="12.75" customHeight="1" x14ac:dyDescent="0.25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4:32" ht="12.75" customHeight="1" x14ac:dyDescent="0.25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4:32" ht="12.75" customHeight="1" x14ac:dyDescent="0.25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4:32" ht="12.75" customHeight="1" x14ac:dyDescent="0.25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4:32" ht="12.75" customHeight="1" x14ac:dyDescent="0.25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4:32" ht="12.75" customHeight="1" x14ac:dyDescent="0.25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4:32" ht="12.75" customHeight="1" x14ac:dyDescent="0.25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4:32" ht="12.75" customHeight="1" x14ac:dyDescent="0.25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4:32" ht="12.75" customHeight="1" x14ac:dyDescent="0.25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4:32" ht="12.75" customHeight="1" x14ac:dyDescent="0.25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4:32" ht="12.75" customHeight="1" x14ac:dyDescent="0.25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4:32" ht="12.75" customHeight="1" x14ac:dyDescent="0.25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4:32" ht="12.75" customHeight="1" x14ac:dyDescent="0.25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4:32" ht="12.75" customHeight="1" x14ac:dyDescent="0.25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4:32" ht="12.75" customHeight="1" x14ac:dyDescent="0.25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4:32" ht="12.75" customHeight="1" x14ac:dyDescent="0.25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4:32" ht="12.75" customHeight="1" x14ac:dyDescent="0.25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4:32" ht="12.75" customHeight="1" x14ac:dyDescent="0.25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4:32" ht="12.75" customHeight="1" x14ac:dyDescent="0.25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4:32" ht="12.75" customHeight="1" x14ac:dyDescent="0.25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4:32" ht="12.75" customHeight="1" x14ac:dyDescent="0.25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4:32" ht="12.75" customHeight="1" x14ac:dyDescent="0.25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4:32" ht="12.75" customHeight="1" x14ac:dyDescent="0.25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4:32" ht="12.75" customHeight="1" x14ac:dyDescent="0.25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4:32" ht="12.75" customHeight="1" x14ac:dyDescent="0.25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4:32" ht="12.75" customHeight="1" x14ac:dyDescent="0.25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4:32" ht="12.75" customHeight="1" x14ac:dyDescent="0.25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4:32" ht="12.75" customHeight="1" x14ac:dyDescent="0.25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4:32" ht="12.75" customHeight="1" x14ac:dyDescent="0.25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4:32" ht="12.75" customHeight="1" x14ac:dyDescent="0.25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4:32" ht="12.75" customHeight="1" x14ac:dyDescent="0.25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4:32" ht="12.75" customHeight="1" x14ac:dyDescent="0.25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4:32" ht="12.75" customHeight="1" x14ac:dyDescent="0.25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4:32" ht="12.75" customHeight="1" x14ac:dyDescent="0.25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4:32" ht="12.75" customHeight="1" x14ac:dyDescent="0.25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4:32" ht="12.75" customHeight="1" x14ac:dyDescent="0.25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4:32" ht="12.75" customHeight="1" x14ac:dyDescent="0.25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4:32" ht="12.75" customHeight="1" x14ac:dyDescent="0.25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4:32" ht="12.75" customHeight="1" x14ac:dyDescent="0.25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4:32" ht="12.75" customHeight="1" x14ac:dyDescent="0.25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4:32" ht="12.75" customHeight="1" x14ac:dyDescent="0.25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4:32" ht="12.75" customHeight="1" x14ac:dyDescent="0.25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4:32" ht="12.75" customHeight="1" x14ac:dyDescent="0.25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4:32" ht="12.75" customHeight="1" x14ac:dyDescent="0.25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4:32" ht="12.75" customHeight="1" x14ac:dyDescent="0.25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4:32" ht="12.75" customHeight="1" x14ac:dyDescent="0.25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4:32" ht="12.75" customHeight="1" x14ac:dyDescent="0.25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4:32" ht="12.75" customHeight="1" x14ac:dyDescent="0.25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4:32" ht="12.75" customHeight="1" x14ac:dyDescent="0.25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4:32" ht="12.75" customHeight="1" x14ac:dyDescent="0.25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4:32" ht="12.75" customHeight="1" x14ac:dyDescent="0.25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4:32" ht="12.75" customHeight="1" x14ac:dyDescent="0.25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4:32" ht="12.75" customHeight="1" x14ac:dyDescent="0.25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4:32" ht="12.75" customHeight="1" x14ac:dyDescent="0.25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4:32" ht="12.75" customHeight="1" x14ac:dyDescent="0.25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4:32" ht="12.75" customHeight="1" x14ac:dyDescent="0.25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4:32" ht="12.75" customHeight="1" x14ac:dyDescent="0.25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4:32" ht="12.75" customHeight="1" x14ac:dyDescent="0.25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4:32" ht="12.75" customHeight="1" x14ac:dyDescent="0.25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4:32" ht="12.75" customHeight="1" x14ac:dyDescent="0.25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4:32" ht="12.75" customHeight="1" x14ac:dyDescent="0.25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4:32" ht="12.75" customHeight="1" x14ac:dyDescent="0.25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4:32" ht="12.75" customHeight="1" x14ac:dyDescent="0.25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4:32" ht="12.75" customHeight="1" x14ac:dyDescent="0.25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4:32" ht="12.75" customHeight="1" x14ac:dyDescent="0.25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4:32" ht="12.75" customHeight="1" x14ac:dyDescent="0.25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4:32" ht="12.75" customHeight="1" x14ac:dyDescent="0.25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4:32" ht="12.75" customHeight="1" x14ac:dyDescent="0.25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4:32" ht="12.75" customHeight="1" x14ac:dyDescent="0.25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4:32" ht="12.75" customHeight="1" x14ac:dyDescent="0.25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4:32" ht="12.75" customHeight="1" x14ac:dyDescent="0.25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4:32" ht="12.75" customHeight="1" x14ac:dyDescent="0.25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4:32" ht="12.75" customHeight="1" x14ac:dyDescent="0.25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4:32" ht="12.75" customHeight="1" x14ac:dyDescent="0.25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4:32" ht="12.75" customHeight="1" x14ac:dyDescent="0.25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4:32" ht="12.75" customHeight="1" x14ac:dyDescent="0.25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4:32" ht="12.75" customHeight="1" x14ac:dyDescent="0.25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4:32" ht="12.75" customHeight="1" x14ac:dyDescent="0.25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4:32" ht="12.75" customHeight="1" x14ac:dyDescent="0.25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4:32" ht="12.75" customHeight="1" x14ac:dyDescent="0.25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4:32" ht="12.75" customHeight="1" x14ac:dyDescent="0.25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4:32" ht="12.75" customHeight="1" x14ac:dyDescent="0.25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4:32" ht="12.75" customHeight="1" x14ac:dyDescent="0.25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4:32" ht="12.75" customHeight="1" x14ac:dyDescent="0.25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4:32" ht="12.75" customHeight="1" x14ac:dyDescent="0.25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4:32" ht="12.75" customHeight="1" x14ac:dyDescent="0.25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4:32" ht="12.75" customHeight="1" x14ac:dyDescent="0.25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4:32" ht="12.75" customHeight="1" x14ac:dyDescent="0.25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4:32" ht="12.75" customHeight="1" x14ac:dyDescent="0.25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4:32" ht="12.75" customHeight="1" x14ac:dyDescent="0.25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4:32" ht="12.75" customHeight="1" x14ac:dyDescent="0.25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4:32" ht="12.75" customHeight="1" x14ac:dyDescent="0.25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4:32" ht="12.75" customHeight="1" x14ac:dyDescent="0.25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4:32" ht="12.75" customHeight="1" x14ac:dyDescent="0.25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4:32" ht="12.75" customHeight="1" x14ac:dyDescent="0.25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4:32" ht="12.75" customHeight="1" x14ac:dyDescent="0.25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4:32" ht="12.75" customHeight="1" x14ac:dyDescent="0.25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4:32" ht="12.75" customHeight="1" x14ac:dyDescent="0.25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4:32" ht="12.75" customHeight="1" x14ac:dyDescent="0.25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4:32" ht="12.75" customHeight="1" x14ac:dyDescent="0.25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4:32" ht="12.75" customHeight="1" x14ac:dyDescent="0.25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4:32" ht="12.75" customHeight="1" x14ac:dyDescent="0.25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4:32" ht="12.75" customHeight="1" x14ac:dyDescent="0.25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4:32" ht="12.75" customHeight="1" x14ac:dyDescent="0.25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4:32" ht="12.75" customHeight="1" x14ac:dyDescent="0.25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4:32" ht="12.75" customHeight="1" x14ac:dyDescent="0.25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4:32" ht="12.75" customHeight="1" x14ac:dyDescent="0.25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4:32" ht="12.75" customHeight="1" x14ac:dyDescent="0.25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4:32" ht="12.75" customHeight="1" x14ac:dyDescent="0.25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4:32" ht="12.75" customHeight="1" x14ac:dyDescent="0.25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4:32" ht="12.75" customHeight="1" x14ac:dyDescent="0.25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4:32" ht="12.75" customHeight="1" x14ac:dyDescent="0.25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4:32" ht="12.75" customHeight="1" x14ac:dyDescent="0.25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4:32" ht="12.75" customHeight="1" x14ac:dyDescent="0.25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4:32" ht="12.75" customHeight="1" x14ac:dyDescent="0.25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4:32" ht="12.75" customHeight="1" x14ac:dyDescent="0.25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4:32" ht="12.75" customHeight="1" x14ac:dyDescent="0.25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4:32" ht="12.75" customHeight="1" x14ac:dyDescent="0.25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4:32" ht="12.75" customHeight="1" x14ac:dyDescent="0.25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4:32" ht="12.75" customHeight="1" x14ac:dyDescent="0.25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4:32" ht="12.75" customHeight="1" x14ac:dyDescent="0.25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4:32" ht="12.75" customHeight="1" x14ac:dyDescent="0.25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4:32" ht="12.75" customHeight="1" x14ac:dyDescent="0.25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4:32" ht="12.75" customHeight="1" x14ac:dyDescent="0.25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4:32" ht="12.75" customHeight="1" x14ac:dyDescent="0.25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4:32" ht="12.75" customHeight="1" x14ac:dyDescent="0.25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4:32" ht="12.75" customHeight="1" x14ac:dyDescent="0.25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4:32" ht="12.75" customHeight="1" x14ac:dyDescent="0.25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4:32" ht="12.75" customHeight="1" x14ac:dyDescent="0.25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4:32" ht="12.75" customHeight="1" x14ac:dyDescent="0.25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4:32" ht="12.75" customHeight="1" x14ac:dyDescent="0.25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4:32" ht="12.75" customHeight="1" x14ac:dyDescent="0.25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4:32" ht="12.75" customHeight="1" x14ac:dyDescent="0.25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4:32" ht="12.75" customHeight="1" x14ac:dyDescent="0.25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4:32" ht="12.75" customHeight="1" x14ac:dyDescent="0.25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4:32" ht="12.75" customHeight="1" x14ac:dyDescent="0.25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4:32" ht="12.75" customHeight="1" x14ac:dyDescent="0.25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4:32" ht="12.75" customHeight="1" x14ac:dyDescent="0.25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4:32" ht="12.75" customHeight="1" x14ac:dyDescent="0.25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4:32" ht="12.75" customHeight="1" x14ac:dyDescent="0.25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4:32" ht="12.75" customHeight="1" x14ac:dyDescent="0.25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4:32" ht="12.75" customHeight="1" x14ac:dyDescent="0.25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4:32" ht="12.75" customHeight="1" x14ac:dyDescent="0.25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4:32" ht="12.75" customHeight="1" x14ac:dyDescent="0.25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4:32" ht="12.75" customHeight="1" x14ac:dyDescent="0.25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4:32" ht="12.75" customHeight="1" x14ac:dyDescent="0.25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4:32" ht="12.75" customHeight="1" x14ac:dyDescent="0.25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4:32" ht="12.75" customHeight="1" x14ac:dyDescent="0.25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4:32" ht="12.75" customHeight="1" x14ac:dyDescent="0.25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4:32" ht="12.75" customHeight="1" x14ac:dyDescent="0.25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4:32" ht="12.75" customHeight="1" x14ac:dyDescent="0.25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4:32" ht="12.75" customHeight="1" x14ac:dyDescent="0.25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4:32" ht="12.75" customHeight="1" x14ac:dyDescent="0.25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4:32" ht="12.75" customHeight="1" x14ac:dyDescent="0.25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4:32" ht="12.75" customHeight="1" x14ac:dyDescent="0.25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4:32" ht="12.75" customHeight="1" x14ac:dyDescent="0.25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4:32" ht="12.75" customHeight="1" x14ac:dyDescent="0.25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4:32" ht="12.75" customHeight="1" x14ac:dyDescent="0.25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4:32" ht="12.75" customHeight="1" x14ac:dyDescent="0.25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4:32" ht="12.75" customHeight="1" x14ac:dyDescent="0.25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4:32" ht="12.75" customHeight="1" x14ac:dyDescent="0.25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4:32" ht="12.75" customHeight="1" x14ac:dyDescent="0.25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4:32" ht="12.75" customHeight="1" x14ac:dyDescent="0.25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4:32" ht="12.75" customHeight="1" x14ac:dyDescent="0.25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4:32" ht="12.75" customHeight="1" x14ac:dyDescent="0.25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4:32" ht="12.75" customHeight="1" x14ac:dyDescent="0.25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4:32" ht="12.75" customHeight="1" x14ac:dyDescent="0.25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4:32" ht="12.75" customHeight="1" x14ac:dyDescent="0.25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4:32" ht="12.75" customHeight="1" x14ac:dyDescent="0.25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4:32" ht="12.75" customHeight="1" x14ac:dyDescent="0.25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4:32" ht="12.75" customHeight="1" x14ac:dyDescent="0.25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4:32" ht="12.75" customHeight="1" x14ac:dyDescent="0.25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4:32" ht="12.75" customHeight="1" x14ac:dyDescent="0.25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4:32" ht="12.75" customHeight="1" x14ac:dyDescent="0.25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4:32" ht="12.75" customHeight="1" x14ac:dyDescent="0.25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4:32" ht="12.75" customHeight="1" x14ac:dyDescent="0.25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4:32" ht="12.75" customHeight="1" x14ac:dyDescent="0.25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4:32" ht="12.75" customHeight="1" x14ac:dyDescent="0.25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4:32" ht="12.75" customHeight="1" x14ac:dyDescent="0.25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4:32" ht="12.75" customHeight="1" x14ac:dyDescent="0.25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4:32" ht="12.75" customHeight="1" x14ac:dyDescent="0.25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4:32" ht="12.75" customHeight="1" x14ac:dyDescent="0.25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4:32" ht="12.75" customHeight="1" x14ac:dyDescent="0.25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4:32" ht="12.75" customHeight="1" x14ac:dyDescent="0.25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4:32" ht="12.75" customHeight="1" x14ac:dyDescent="0.25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4:32" ht="12.75" customHeight="1" x14ac:dyDescent="0.25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4:32" ht="12.75" customHeight="1" x14ac:dyDescent="0.25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4:32" ht="12.75" customHeight="1" x14ac:dyDescent="0.25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4:32" ht="12.75" customHeight="1" x14ac:dyDescent="0.25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4:32" ht="12.75" customHeight="1" x14ac:dyDescent="0.25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4:32" ht="12.75" customHeight="1" x14ac:dyDescent="0.25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4:32" ht="12.75" customHeight="1" x14ac:dyDescent="0.25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4:32" ht="12.75" customHeight="1" x14ac:dyDescent="0.25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4:32" ht="12.75" customHeight="1" x14ac:dyDescent="0.25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4:32" ht="12.75" customHeight="1" x14ac:dyDescent="0.25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4:32" ht="12.75" customHeight="1" x14ac:dyDescent="0.25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4:32" ht="12.75" customHeight="1" x14ac:dyDescent="0.25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4:32" ht="12.75" customHeight="1" x14ac:dyDescent="0.25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4:32" ht="12.75" customHeight="1" x14ac:dyDescent="0.25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4:32" ht="12.75" customHeight="1" x14ac:dyDescent="0.25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4:32" ht="12.75" customHeight="1" x14ac:dyDescent="0.25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4:32" ht="12.75" customHeight="1" x14ac:dyDescent="0.25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4:32" ht="12.75" customHeight="1" x14ac:dyDescent="0.25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4:32" ht="12.75" customHeight="1" x14ac:dyDescent="0.25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4:32" ht="12.75" customHeight="1" x14ac:dyDescent="0.25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4:32" ht="12.75" customHeight="1" x14ac:dyDescent="0.25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4:32" ht="12.75" customHeight="1" x14ac:dyDescent="0.25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4:32" ht="12.75" customHeight="1" x14ac:dyDescent="0.25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4:32" ht="12.75" customHeight="1" x14ac:dyDescent="0.25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4:32" ht="12.75" customHeight="1" x14ac:dyDescent="0.25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4:32" ht="12.75" customHeight="1" x14ac:dyDescent="0.25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4:32" ht="12.75" customHeight="1" x14ac:dyDescent="0.25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4:32" ht="12.75" customHeight="1" x14ac:dyDescent="0.25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4:32" ht="12.75" customHeight="1" x14ac:dyDescent="0.25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4:32" ht="12.75" customHeight="1" x14ac:dyDescent="0.25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4:32" ht="12.75" customHeight="1" x14ac:dyDescent="0.25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4:32" ht="12.75" customHeight="1" x14ac:dyDescent="0.25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4:32" ht="12.75" customHeight="1" x14ac:dyDescent="0.25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4:32" ht="12.75" customHeight="1" x14ac:dyDescent="0.25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4:32" ht="12.75" customHeight="1" x14ac:dyDescent="0.25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4:32" ht="12.75" customHeight="1" x14ac:dyDescent="0.25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4:32" ht="12.75" customHeight="1" x14ac:dyDescent="0.25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4:32" ht="12.75" customHeight="1" x14ac:dyDescent="0.25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4:32" ht="12.75" customHeight="1" x14ac:dyDescent="0.25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4:32" ht="12.75" customHeight="1" x14ac:dyDescent="0.25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4:32" ht="12.75" customHeight="1" x14ac:dyDescent="0.25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4:32" ht="12.75" customHeight="1" x14ac:dyDescent="0.25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4:32" ht="12.75" customHeight="1" x14ac:dyDescent="0.25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4:32" ht="12.75" customHeight="1" x14ac:dyDescent="0.25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4:32" ht="12.75" customHeight="1" x14ac:dyDescent="0.25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4:32" ht="12.75" customHeight="1" x14ac:dyDescent="0.25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4:32" ht="12.75" customHeight="1" x14ac:dyDescent="0.25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4:32" ht="12.75" customHeight="1" x14ac:dyDescent="0.25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4:32" ht="12.75" customHeight="1" x14ac:dyDescent="0.25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4:32" ht="12.75" customHeight="1" x14ac:dyDescent="0.25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4:32" ht="12.75" customHeight="1" x14ac:dyDescent="0.25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4:32" ht="12.75" customHeight="1" x14ac:dyDescent="0.25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4:32" ht="12.75" customHeight="1" x14ac:dyDescent="0.25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4:32" ht="12.75" customHeight="1" x14ac:dyDescent="0.25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4:32" ht="12.75" customHeight="1" x14ac:dyDescent="0.25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4:32" ht="12.75" customHeight="1" x14ac:dyDescent="0.25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4:32" ht="12.75" customHeight="1" x14ac:dyDescent="0.25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4:32" ht="12.75" customHeight="1" x14ac:dyDescent="0.25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4:32" ht="12.75" customHeight="1" x14ac:dyDescent="0.25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4:32" ht="12.75" customHeight="1" x14ac:dyDescent="0.25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4:32" ht="12.75" customHeight="1" x14ac:dyDescent="0.25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4:32" ht="12.75" customHeight="1" x14ac:dyDescent="0.25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4:32" ht="12.75" customHeight="1" x14ac:dyDescent="0.25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4:32" ht="12.75" customHeight="1" x14ac:dyDescent="0.25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4:32" ht="12.75" customHeight="1" x14ac:dyDescent="0.25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4:32" ht="12.75" customHeight="1" x14ac:dyDescent="0.25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4:32" ht="12.75" customHeight="1" x14ac:dyDescent="0.25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4:32" ht="12.75" customHeight="1" x14ac:dyDescent="0.25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4:32" ht="12.75" customHeight="1" x14ac:dyDescent="0.25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4:32" ht="12.75" customHeight="1" x14ac:dyDescent="0.25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4:32" ht="12.75" customHeight="1" x14ac:dyDescent="0.25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4:32" ht="12.75" customHeight="1" x14ac:dyDescent="0.25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4:32" ht="12.75" customHeight="1" x14ac:dyDescent="0.25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4:32" ht="12.75" customHeight="1" x14ac:dyDescent="0.25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4:32" ht="12.75" customHeight="1" x14ac:dyDescent="0.25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4:32" ht="12.75" customHeight="1" x14ac:dyDescent="0.25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4:32" ht="12.75" customHeight="1" x14ac:dyDescent="0.25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4:32" ht="12.75" customHeight="1" x14ac:dyDescent="0.25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4:32" ht="12.75" customHeight="1" x14ac:dyDescent="0.25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4:32" ht="12.75" customHeight="1" x14ac:dyDescent="0.25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4:32" ht="12.75" customHeight="1" x14ac:dyDescent="0.25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4:32" ht="12.75" customHeight="1" x14ac:dyDescent="0.25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4:32" ht="12.75" customHeight="1" x14ac:dyDescent="0.25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4:32" ht="12.75" customHeight="1" x14ac:dyDescent="0.25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4:32" ht="12.75" customHeight="1" x14ac:dyDescent="0.25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4:32" ht="12.75" customHeight="1" x14ac:dyDescent="0.25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4:32" ht="12.75" customHeight="1" x14ac:dyDescent="0.25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4:32" ht="12.75" customHeight="1" x14ac:dyDescent="0.25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4:32" ht="12.75" customHeight="1" x14ac:dyDescent="0.25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4:32" ht="12.75" customHeight="1" x14ac:dyDescent="0.25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4:32" ht="12.75" customHeight="1" x14ac:dyDescent="0.25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4:32" ht="12.75" customHeight="1" x14ac:dyDescent="0.25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4:32" ht="12.75" customHeight="1" x14ac:dyDescent="0.25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4:32" ht="12.75" customHeight="1" x14ac:dyDescent="0.25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4:32" ht="12.75" customHeight="1" x14ac:dyDescent="0.25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4:32" ht="12.75" customHeight="1" x14ac:dyDescent="0.25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4:32" ht="12.75" customHeight="1" x14ac:dyDescent="0.25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4:32" ht="12.75" customHeight="1" x14ac:dyDescent="0.25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4:32" ht="12.75" customHeight="1" x14ac:dyDescent="0.25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4:32" ht="12.75" customHeight="1" x14ac:dyDescent="0.25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4:32" ht="12.75" customHeight="1" x14ac:dyDescent="0.25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4:32" ht="12.75" customHeight="1" x14ac:dyDescent="0.25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4:32" ht="12.75" customHeight="1" x14ac:dyDescent="0.25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4:32" ht="12.75" customHeight="1" x14ac:dyDescent="0.25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4:32" ht="12.75" customHeight="1" x14ac:dyDescent="0.25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4:32" ht="12.75" customHeight="1" x14ac:dyDescent="0.25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4:32" ht="12.75" customHeight="1" x14ac:dyDescent="0.25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4:32" ht="12.75" customHeight="1" x14ac:dyDescent="0.25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4:32" ht="12.75" customHeight="1" x14ac:dyDescent="0.25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4:32" ht="12.75" customHeight="1" x14ac:dyDescent="0.25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4:32" ht="12.75" customHeight="1" x14ac:dyDescent="0.25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4:32" ht="12.75" customHeight="1" x14ac:dyDescent="0.25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4:32" ht="12.75" customHeight="1" x14ac:dyDescent="0.25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4:32" ht="12.75" customHeight="1" x14ac:dyDescent="0.25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4:32" ht="12.75" customHeight="1" x14ac:dyDescent="0.25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4:32" ht="12.75" customHeight="1" x14ac:dyDescent="0.25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4:32" ht="12.75" customHeight="1" x14ac:dyDescent="0.25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4:32" ht="12.75" customHeight="1" x14ac:dyDescent="0.25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4:32" ht="12.75" customHeight="1" x14ac:dyDescent="0.25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4:32" ht="12.75" customHeight="1" x14ac:dyDescent="0.25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4:32" ht="12.75" customHeight="1" x14ac:dyDescent="0.25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4:32" ht="12.75" customHeight="1" x14ac:dyDescent="0.25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4:32" ht="12.75" customHeight="1" x14ac:dyDescent="0.25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4:32" ht="12.75" customHeight="1" x14ac:dyDescent="0.25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4:32" ht="12.75" customHeight="1" x14ac:dyDescent="0.25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4:32" ht="12.75" customHeight="1" x14ac:dyDescent="0.25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4:32" ht="12.75" customHeight="1" x14ac:dyDescent="0.25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4:32" ht="12.75" customHeight="1" x14ac:dyDescent="0.25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4:32" ht="12.75" customHeight="1" x14ac:dyDescent="0.25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4:32" ht="12.75" customHeight="1" x14ac:dyDescent="0.25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4:32" ht="12.75" customHeight="1" x14ac:dyDescent="0.25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4:32" ht="12.75" customHeight="1" x14ac:dyDescent="0.25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4:32" ht="12.75" customHeight="1" x14ac:dyDescent="0.25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4:32" ht="12.75" customHeight="1" x14ac:dyDescent="0.25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4:32" ht="12.75" customHeight="1" x14ac:dyDescent="0.25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4:32" ht="12.75" customHeight="1" x14ac:dyDescent="0.25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4:32" ht="12.75" customHeight="1" x14ac:dyDescent="0.25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4:32" ht="12.75" customHeight="1" x14ac:dyDescent="0.25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4:32" ht="12.75" customHeight="1" x14ac:dyDescent="0.25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4:32" ht="12.75" customHeight="1" x14ac:dyDescent="0.25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4:32" ht="12.75" customHeight="1" x14ac:dyDescent="0.25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4:32" ht="12.75" customHeight="1" x14ac:dyDescent="0.25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4:32" ht="12.75" customHeight="1" x14ac:dyDescent="0.25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4:32" ht="12.75" customHeight="1" x14ac:dyDescent="0.25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4:32" ht="12.75" customHeight="1" x14ac:dyDescent="0.25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4:32" ht="12.75" customHeight="1" x14ac:dyDescent="0.25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4:32" ht="12.75" customHeight="1" x14ac:dyDescent="0.25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4:32" ht="12.75" customHeight="1" x14ac:dyDescent="0.25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4:32" ht="12.75" customHeight="1" x14ac:dyDescent="0.25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4:32" ht="12.75" customHeight="1" x14ac:dyDescent="0.25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4:32" ht="12.75" customHeight="1" x14ac:dyDescent="0.25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4:32" ht="12.75" customHeight="1" x14ac:dyDescent="0.25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4:32" ht="12.75" customHeight="1" x14ac:dyDescent="0.25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4:32" ht="12.75" customHeight="1" x14ac:dyDescent="0.25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4:32" ht="12.75" customHeight="1" x14ac:dyDescent="0.25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4:32" ht="12.75" customHeight="1" x14ac:dyDescent="0.25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4:32" ht="12.75" customHeight="1" x14ac:dyDescent="0.25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4:32" ht="12.75" customHeight="1" x14ac:dyDescent="0.25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4:32" ht="12.75" customHeight="1" x14ac:dyDescent="0.25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4:32" ht="12.75" customHeight="1" x14ac:dyDescent="0.25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4:32" ht="12.75" customHeight="1" x14ac:dyDescent="0.25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4:32" ht="12.75" customHeight="1" x14ac:dyDescent="0.25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4:32" ht="12.75" customHeight="1" x14ac:dyDescent="0.25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4:32" ht="12.75" customHeight="1" x14ac:dyDescent="0.25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4:32" ht="12.75" customHeight="1" x14ac:dyDescent="0.25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4:32" ht="12.75" customHeight="1" x14ac:dyDescent="0.25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4:32" ht="12.75" customHeight="1" x14ac:dyDescent="0.25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4:32" ht="12.75" customHeight="1" x14ac:dyDescent="0.25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4:32" ht="12.75" customHeight="1" x14ac:dyDescent="0.25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4:32" ht="12.75" customHeight="1" x14ac:dyDescent="0.25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4:32" ht="12.75" customHeight="1" x14ac:dyDescent="0.25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4:32" ht="12.75" customHeight="1" x14ac:dyDescent="0.25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4:32" ht="12.75" customHeight="1" x14ac:dyDescent="0.25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4:32" ht="12.75" customHeight="1" x14ac:dyDescent="0.25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4:32" ht="12.75" customHeight="1" x14ac:dyDescent="0.25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4:32" ht="12.75" customHeight="1" x14ac:dyDescent="0.25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4:32" ht="12.75" customHeight="1" x14ac:dyDescent="0.25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4:32" ht="12.75" customHeight="1" x14ac:dyDescent="0.25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4:32" ht="12.75" customHeight="1" x14ac:dyDescent="0.25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4:32" ht="12.75" customHeight="1" x14ac:dyDescent="0.25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4:32" ht="12.75" customHeight="1" x14ac:dyDescent="0.25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4:32" ht="12.75" customHeight="1" x14ac:dyDescent="0.25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4:32" ht="12.75" customHeight="1" x14ac:dyDescent="0.25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4:32" ht="12.75" customHeight="1" x14ac:dyDescent="0.25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4:32" ht="12.75" customHeight="1" x14ac:dyDescent="0.25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4:32" ht="12.75" customHeight="1" x14ac:dyDescent="0.25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4:32" ht="12.75" customHeight="1" x14ac:dyDescent="0.25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4:32" ht="12.75" customHeight="1" x14ac:dyDescent="0.25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4:32" ht="12.75" customHeight="1" x14ac:dyDescent="0.25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4:32" ht="12.75" customHeight="1" x14ac:dyDescent="0.25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4:32" ht="12.75" customHeight="1" x14ac:dyDescent="0.25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4:32" ht="12.75" customHeight="1" x14ac:dyDescent="0.25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4:32" ht="12.75" customHeight="1" x14ac:dyDescent="0.25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4:32" ht="12.75" customHeight="1" x14ac:dyDescent="0.25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4:32" ht="12.75" customHeight="1" x14ac:dyDescent="0.25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4:32" ht="12.75" customHeight="1" x14ac:dyDescent="0.25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4:32" ht="12.75" customHeight="1" x14ac:dyDescent="0.25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4:32" ht="12.75" customHeight="1" x14ac:dyDescent="0.25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4:32" ht="12.75" customHeight="1" x14ac:dyDescent="0.25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4:32" ht="12.75" customHeight="1" x14ac:dyDescent="0.25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4:32" ht="12.75" customHeight="1" x14ac:dyDescent="0.25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4:32" ht="12.75" customHeight="1" x14ac:dyDescent="0.25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4:32" ht="12.75" customHeight="1" x14ac:dyDescent="0.25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4:32" ht="12.75" customHeight="1" x14ac:dyDescent="0.25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4:32" ht="12.75" customHeight="1" x14ac:dyDescent="0.25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4:32" ht="12.75" customHeight="1" x14ac:dyDescent="0.25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4:32" ht="12.75" customHeight="1" x14ac:dyDescent="0.25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4:32" ht="12.75" customHeight="1" x14ac:dyDescent="0.25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4:32" ht="12.75" customHeight="1" x14ac:dyDescent="0.25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4:32" ht="12.75" customHeight="1" x14ac:dyDescent="0.25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4:32" ht="12.75" customHeight="1" x14ac:dyDescent="0.25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4:32" ht="12.75" customHeight="1" x14ac:dyDescent="0.25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4:32" ht="12.75" customHeight="1" x14ac:dyDescent="0.25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4:32" ht="12.75" customHeight="1" x14ac:dyDescent="0.25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4:32" ht="12.75" customHeight="1" x14ac:dyDescent="0.25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4:32" ht="12.75" customHeight="1" x14ac:dyDescent="0.25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4:32" ht="12.75" customHeight="1" x14ac:dyDescent="0.25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4:32" ht="12.75" customHeight="1" x14ac:dyDescent="0.25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4:32" ht="12.75" customHeight="1" x14ac:dyDescent="0.25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4:32" ht="12.75" customHeight="1" x14ac:dyDescent="0.25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4:32" ht="12.75" customHeight="1" x14ac:dyDescent="0.25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4:32" ht="12.75" customHeight="1" x14ac:dyDescent="0.25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4:32" ht="12.75" customHeight="1" x14ac:dyDescent="0.25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4:32" ht="12.75" customHeight="1" x14ac:dyDescent="0.25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4:32" ht="12.75" customHeight="1" x14ac:dyDescent="0.25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4:32" ht="12.75" customHeight="1" x14ac:dyDescent="0.25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4:32" ht="12.75" customHeight="1" x14ac:dyDescent="0.25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4:32" ht="12.75" customHeight="1" x14ac:dyDescent="0.25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4:32" ht="12.75" customHeight="1" x14ac:dyDescent="0.25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4:32" ht="12.75" customHeight="1" x14ac:dyDescent="0.25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4:32" ht="12.75" customHeight="1" x14ac:dyDescent="0.25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4:32" ht="12.75" customHeight="1" x14ac:dyDescent="0.25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4:32" ht="12.75" customHeight="1" x14ac:dyDescent="0.25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4:32" ht="12.75" customHeight="1" x14ac:dyDescent="0.25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4:32" ht="12.75" customHeight="1" x14ac:dyDescent="0.25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4:32" ht="12.75" customHeight="1" x14ac:dyDescent="0.25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4:32" ht="12.75" customHeight="1" x14ac:dyDescent="0.25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4:32" ht="12.75" customHeight="1" x14ac:dyDescent="0.25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4:32" ht="12.75" customHeight="1" x14ac:dyDescent="0.25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4:32" ht="12.75" customHeight="1" x14ac:dyDescent="0.25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4:32" ht="12.75" customHeight="1" x14ac:dyDescent="0.25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4:32" ht="12.75" customHeight="1" x14ac:dyDescent="0.25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4:32" ht="12.75" customHeight="1" x14ac:dyDescent="0.25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4:32" ht="12.75" customHeight="1" x14ac:dyDescent="0.25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4:32" ht="12.75" customHeight="1" x14ac:dyDescent="0.25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4:32" ht="12.75" customHeight="1" x14ac:dyDescent="0.25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4:32" ht="12.75" customHeight="1" x14ac:dyDescent="0.25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4:32" ht="12.75" customHeight="1" x14ac:dyDescent="0.25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4:32" ht="12.75" customHeight="1" x14ac:dyDescent="0.25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4:32" ht="12.75" customHeight="1" x14ac:dyDescent="0.25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4:32" ht="12.75" customHeight="1" x14ac:dyDescent="0.25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4:32" ht="12.75" customHeight="1" x14ac:dyDescent="0.25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4:32" ht="12.75" customHeight="1" x14ac:dyDescent="0.25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4:32" ht="12.75" customHeight="1" x14ac:dyDescent="0.25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4:32" ht="12.75" customHeight="1" x14ac:dyDescent="0.25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4:32" ht="12.75" customHeight="1" x14ac:dyDescent="0.25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4:32" ht="12.75" customHeight="1" x14ac:dyDescent="0.25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4:32" ht="12.75" customHeight="1" x14ac:dyDescent="0.25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4:32" ht="12.75" customHeight="1" x14ac:dyDescent="0.25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4:32" ht="12.75" customHeight="1" x14ac:dyDescent="0.25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4:32" ht="12.75" customHeight="1" x14ac:dyDescent="0.25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4:32" ht="12.75" customHeight="1" x14ac:dyDescent="0.25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4:32" ht="12.75" customHeight="1" x14ac:dyDescent="0.25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4:32" ht="12.75" customHeight="1" x14ac:dyDescent="0.25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4:32" ht="12.75" customHeight="1" x14ac:dyDescent="0.25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4:32" ht="12.75" customHeight="1" x14ac:dyDescent="0.25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4:32" ht="12.75" customHeight="1" x14ac:dyDescent="0.25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4:32" ht="12.75" customHeight="1" x14ac:dyDescent="0.25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4:32" ht="12.75" customHeight="1" x14ac:dyDescent="0.25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4:32" ht="12.75" customHeight="1" x14ac:dyDescent="0.25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4:32" ht="12.75" customHeight="1" x14ac:dyDescent="0.25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4:32" ht="12.75" customHeight="1" x14ac:dyDescent="0.25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4:32" ht="12.75" customHeight="1" x14ac:dyDescent="0.25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4:32" ht="12.75" customHeight="1" x14ac:dyDescent="0.25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4:32" ht="12.75" customHeight="1" x14ac:dyDescent="0.25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4:32" ht="12.75" customHeight="1" x14ac:dyDescent="0.25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4:32" ht="12.75" customHeight="1" x14ac:dyDescent="0.25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4:32" ht="12.75" customHeight="1" x14ac:dyDescent="0.25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4:32" ht="12.75" customHeight="1" x14ac:dyDescent="0.25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4:32" ht="12.75" customHeight="1" x14ac:dyDescent="0.25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4:32" ht="12.75" customHeight="1" x14ac:dyDescent="0.25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4:32" ht="12.75" customHeight="1" x14ac:dyDescent="0.25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4:32" ht="12.75" customHeight="1" x14ac:dyDescent="0.25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4:32" ht="12.75" customHeight="1" x14ac:dyDescent="0.25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4:32" ht="12.75" customHeight="1" x14ac:dyDescent="0.25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4:32" ht="12.75" customHeight="1" x14ac:dyDescent="0.25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4:32" ht="12.75" customHeight="1" x14ac:dyDescent="0.25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4:32" ht="12.75" customHeight="1" x14ac:dyDescent="0.25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4:32" ht="12.75" customHeight="1" x14ac:dyDescent="0.25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4:32" ht="12.75" customHeight="1" x14ac:dyDescent="0.25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4:32" ht="12.75" customHeight="1" x14ac:dyDescent="0.25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4:32" ht="12.75" customHeight="1" x14ac:dyDescent="0.25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4:32" ht="12.75" customHeight="1" x14ac:dyDescent="0.25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4:32" ht="12.75" customHeight="1" x14ac:dyDescent="0.25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4:32" ht="12.75" customHeight="1" x14ac:dyDescent="0.25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4:32" ht="12.75" customHeight="1" x14ac:dyDescent="0.25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4:32" ht="12.75" customHeight="1" x14ac:dyDescent="0.25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4:32" ht="12.75" customHeight="1" x14ac:dyDescent="0.25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4:32" ht="12.75" customHeight="1" x14ac:dyDescent="0.25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4:32" ht="12.75" customHeight="1" x14ac:dyDescent="0.25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4:32" ht="12.75" customHeight="1" x14ac:dyDescent="0.25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4:32" ht="12.75" customHeight="1" x14ac:dyDescent="0.25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4:32" ht="12.75" customHeight="1" x14ac:dyDescent="0.25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4:32" ht="12.75" customHeight="1" x14ac:dyDescent="0.25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4:32" ht="12.75" customHeight="1" x14ac:dyDescent="0.25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4:32" ht="12.75" customHeight="1" x14ac:dyDescent="0.25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4:32" ht="12.75" customHeight="1" x14ac:dyDescent="0.25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4:32" ht="12.75" customHeight="1" x14ac:dyDescent="0.25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4:32" ht="12.75" customHeight="1" x14ac:dyDescent="0.25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4:32" ht="12.75" customHeight="1" x14ac:dyDescent="0.25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4:32" ht="12.75" customHeight="1" x14ac:dyDescent="0.25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4:32" ht="12.75" customHeight="1" x14ac:dyDescent="0.25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4:32" ht="12.75" customHeight="1" x14ac:dyDescent="0.25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4:32" ht="12.75" customHeight="1" x14ac:dyDescent="0.25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4:32" ht="12.75" customHeight="1" x14ac:dyDescent="0.25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4:32" ht="12.75" customHeight="1" x14ac:dyDescent="0.25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4:32" ht="12.75" customHeight="1" x14ac:dyDescent="0.25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4:32" ht="12.75" customHeight="1" x14ac:dyDescent="0.25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4:32" ht="12.75" customHeight="1" x14ac:dyDescent="0.25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4:32" ht="12.75" customHeight="1" x14ac:dyDescent="0.25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4:32" ht="12.75" customHeight="1" x14ac:dyDescent="0.25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4:32" ht="12.75" customHeight="1" x14ac:dyDescent="0.25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4:32" ht="12.75" customHeight="1" x14ac:dyDescent="0.25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4:32" ht="12.75" customHeight="1" x14ac:dyDescent="0.25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4:32" ht="12.75" customHeight="1" x14ac:dyDescent="0.25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4:32" ht="12.75" customHeight="1" x14ac:dyDescent="0.25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4:32" ht="12.75" customHeight="1" x14ac:dyDescent="0.25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4:32" ht="12.75" customHeight="1" x14ac:dyDescent="0.25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4:32" ht="12.75" customHeight="1" x14ac:dyDescent="0.25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4:32" ht="12.75" customHeight="1" x14ac:dyDescent="0.25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4:32" ht="12.75" customHeight="1" x14ac:dyDescent="0.25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4:32" ht="12.75" customHeight="1" x14ac:dyDescent="0.25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4:32" ht="12.75" customHeight="1" x14ac:dyDescent="0.25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4:32" ht="12.75" customHeight="1" x14ac:dyDescent="0.25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4:32" ht="12.75" customHeight="1" x14ac:dyDescent="0.25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4:32" ht="12.75" customHeight="1" x14ac:dyDescent="0.25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4:32" ht="12.75" customHeight="1" x14ac:dyDescent="0.25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4:32" ht="12.75" customHeight="1" x14ac:dyDescent="0.25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4:32" ht="12.75" customHeight="1" x14ac:dyDescent="0.25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4:32" ht="12.75" customHeight="1" x14ac:dyDescent="0.25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4:32" ht="12.75" customHeight="1" x14ac:dyDescent="0.25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4:32" ht="12.75" customHeight="1" x14ac:dyDescent="0.25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4:32" ht="12.75" customHeight="1" x14ac:dyDescent="0.25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4:32" ht="12.75" customHeight="1" x14ac:dyDescent="0.25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4:32" ht="12.75" customHeight="1" x14ac:dyDescent="0.25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4:32" ht="12.75" customHeight="1" x14ac:dyDescent="0.25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4:32" ht="12.75" customHeight="1" x14ac:dyDescent="0.25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4:32" ht="12.75" customHeight="1" x14ac:dyDescent="0.25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4:32" ht="12.75" customHeight="1" x14ac:dyDescent="0.25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4:32" ht="12.75" customHeight="1" x14ac:dyDescent="0.25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4:32" ht="12.75" customHeight="1" x14ac:dyDescent="0.25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4:32" ht="12.75" customHeight="1" x14ac:dyDescent="0.25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4:32" ht="12.75" customHeight="1" x14ac:dyDescent="0.25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4:32" ht="12.75" customHeight="1" x14ac:dyDescent="0.25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4:32" ht="12.75" customHeight="1" x14ac:dyDescent="0.25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4:32" ht="12.75" customHeight="1" x14ac:dyDescent="0.25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4:32" ht="12.75" customHeight="1" x14ac:dyDescent="0.25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4:32" ht="12.75" customHeight="1" x14ac:dyDescent="0.25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4:32" ht="12.75" customHeight="1" x14ac:dyDescent="0.25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4:32" ht="12.75" customHeight="1" x14ac:dyDescent="0.25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4:32" ht="12.75" customHeight="1" x14ac:dyDescent="0.25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4:32" ht="12.75" customHeight="1" x14ac:dyDescent="0.25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4:32" ht="12.75" customHeight="1" x14ac:dyDescent="0.25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4:32" ht="12.75" customHeight="1" x14ac:dyDescent="0.25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4:32" ht="12.75" customHeight="1" x14ac:dyDescent="0.25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4:32" ht="12.75" customHeight="1" x14ac:dyDescent="0.25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4:32" ht="12.75" customHeight="1" x14ac:dyDescent="0.25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4:32" ht="12.75" customHeight="1" x14ac:dyDescent="0.25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4:32" ht="12.75" customHeight="1" x14ac:dyDescent="0.25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4:32" ht="12.75" customHeight="1" x14ac:dyDescent="0.25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4:32" ht="12.75" customHeight="1" x14ac:dyDescent="0.25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4:32" ht="12.75" customHeight="1" x14ac:dyDescent="0.25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4:32" ht="12.75" customHeight="1" x14ac:dyDescent="0.25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4:32" ht="12.75" customHeight="1" x14ac:dyDescent="0.25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4:32" ht="12.75" customHeight="1" x14ac:dyDescent="0.25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4:32" ht="12.75" customHeight="1" x14ac:dyDescent="0.25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4:32" ht="12.75" customHeight="1" x14ac:dyDescent="0.25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4:32" ht="12.75" customHeight="1" x14ac:dyDescent="0.25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4:32" ht="12.75" customHeight="1" x14ac:dyDescent="0.25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4:32" ht="12.75" customHeight="1" x14ac:dyDescent="0.25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4:32" ht="12.75" customHeight="1" x14ac:dyDescent="0.25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4:32" ht="12.75" customHeight="1" x14ac:dyDescent="0.25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4:32" ht="12.75" customHeight="1" x14ac:dyDescent="0.25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4:32" ht="12.75" customHeight="1" x14ac:dyDescent="0.25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4:32" ht="12.75" customHeight="1" x14ac:dyDescent="0.25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4:32" ht="12.75" customHeight="1" x14ac:dyDescent="0.25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4:32" ht="12.75" customHeight="1" x14ac:dyDescent="0.25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4:32" ht="12.75" customHeight="1" x14ac:dyDescent="0.25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4:32" ht="12.75" customHeight="1" x14ac:dyDescent="0.25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4:32" ht="12.75" customHeight="1" x14ac:dyDescent="0.25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4:32" ht="12.75" customHeight="1" x14ac:dyDescent="0.25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4:32" ht="12.75" customHeight="1" x14ac:dyDescent="0.25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4:32" ht="12.75" customHeight="1" x14ac:dyDescent="0.25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4:32" ht="12.75" customHeight="1" x14ac:dyDescent="0.25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4:32" ht="12.75" customHeight="1" x14ac:dyDescent="0.25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4:32" ht="12.75" customHeight="1" x14ac:dyDescent="0.25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4:32" ht="12.75" customHeight="1" x14ac:dyDescent="0.25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4:32" ht="12.75" customHeight="1" x14ac:dyDescent="0.25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4:32" ht="12.75" customHeight="1" x14ac:dyDescent="0.25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4:32" ht="12.75" customHeight="1" x14ac:dyDescent="0.25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4:32" ht="12.75" customHeight="1" x14ac:dyDescent="0.25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4:32" ht="12.75" customHeight="1" x14ac:dyDescent="0.25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4:32" ht="12.75" customHeight="1" x14ac:dyDescent="0.25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4:32" ht="12.75" customHeight="1" x14ac:dyDescent="0.25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4:32" ht="12.75" customHeight="1" x14ac:dyDescent="0.25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4:32" ht="12.75" customHeight="1" x14ac:dyDescent="0.25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4:32" ht="12.75" customHeight="1" x14ac:dyDescent="0.25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4:32" ht="12.75" customHeight="1" x14ac:dyDescent="0.25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4:32" ht="12.75" customHeight="1" x14ac:dyDescent="0.25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4:32" ht="12.75" customHeight="1" x14ac:dyDescent="0.25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4:32" ht="12.75" customHeight="1" x14ac:dyDescent="0.25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4:32" ht="12.75" customHeight="1" x14ac:dyDescent="0.25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4:32" ht="12.75" customHeight="1" x14ac:dyDescent="0.25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4:32" ht="12.75" customHeight="1" x14ac:dyDescent="0.25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4:32" ht="12.75" customHeight="1" x14ac:dyDescent="0.25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4:32" ht="12.75" customHeight="1" x14ac:dyDescent="0.25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4:32" ht="12.75" customHeight="1" x14ac:dyDescent="0.25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4:32" ht="12.75" customHeight="1" x14ac:dyDescent="0.25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4:32" ht="12.75" customHeight="1" x14ac:dyDescent="0.25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4:32" ht="12.75" customHeight="1" x14ac:dyDescent="0.25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4:32" ht="12.75" customHeight="1" x14ac:dyDescent="0.25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4:32" ht="12.75" customHeight="1" x14ac:dyDescent="0.25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4:32" ht="12.75" customHeight="1" x14ac:dyDescent="0.25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4:32" ht="12.75" customHeight="1" x14ac:dyDescent="0.25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4:32" ht="12.75" customHeight="1" x14ac:dyDescent="0.25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4:32" ht="12.75" customHeight="1" x14ac:dyDescent="0.25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4:32" ht="12.75" customHeight="1" x14ac:dyDescent="0.25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4:32" ht="12.75" customHeight="1" x14ac:dyDescent="0.25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4:32" ht="12.75" customHeight="1" x14ac:dyDescent="0.25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4:32" ht="12.75" customHeight="1" x14ac:dyDescent="0.25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4:32" ht="12.75" customHeight="1" x14ac:dyDescent="0.25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4:32" ht="12.75" customHeight="1" x14ac:dyDescent="0.25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4:32" ht="12.75" customHeight="1" x14ac:dyDescent="0.25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4:32" ht="12.75" customHeight="1" x14ac:dyDescent="0.25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4:32" ht="12.75" customHeight="1" x14ac:dyDescent="0.25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4:32" ht="12.75" customHeight="1" x14ac:dyDescent="0.25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4:32" ht="12.75" customHeight="1" x14ac:dyDescent="0.25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4:32" ht="12.75" customHeight="1" x14ac:dyDescent="0.25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4:32" ht="12.75" customHeight="1" x14ac:dyDescent="0.25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4:32" ht="12.75" customHeight="1" x14ac:dyDescent="0.25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4:32" ht="12.75" customHeight="1" x14ac:dyDescent="0.25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4:32" ht="12.75" customHeight="1" x14ac:dyDescent="0.25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4:32" ht="12.75" customHeight="1" x14ac:dyDescent="0.25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4:32" ht="12.75" customHeight="1" x14ac:dyDescent="0.25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4:32" ht="12.75" customHeight="1" x14ac:dyDescent="0.25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4:32" ht="12.75" customHeight="1" x14ac:dyDescent="0.25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4:32" ht="12.75" customHeight="1" x14ac:dyDescent="0.25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4:32" ht="12.75" customHeight="1" x14ac:dyDescent="0.25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4:32" ht="12.75" customHeight="1" x14ac:dyDescent="0.25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4:32" ht="12.75" customHeight="1" x14ac:dyDescent="0.25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</sheetData>
  <mergeCells count="5">
    <mergeCell ref="H6:U6"/>
    <mergeCell ref="B1:V1"/>
    <mergeCell ref="C2:V2"/>
    <mergeCell ref="C3:V3"/>
    <mergeCell ref="C4:V4"/>
  </mergeCells>
  <phoneticPr fontId="5" type="noConversion"/>
  <conditionalFormatting sqref="B12:AF41">
    <cfRule type="expression" dxfId="3" priority="3" stopIfTrue="1">
      <formula>$F12="Terminado"</formula>
    </cfRule>
    <cfRule type="expression" dxfId="2" priority="4" stopIfTrue="1">
      <formula>$F12="En Progreso"</formula>
    </cfRule>
  </conditionalFormatting>
  <conditionalFormatting sqref="L12:AF15 C16:AF41">
    <cfRule type="expression" dxfId="1" priority="1" stopIfTrue="1">
      <formula>$F12="Done"</formula>
    </cfRule>
    <cfRule type="expression" dxfId="0" priority="2" stopIfTrue="1">
      <formula>$F12="Ongoing"</formula>
    </cfRule>
  </conditionalFormatting>
  <dataValidations count="1">
    <dataValidation type="list" allowBlank="1" sqref="F2:F5 F12:F41" xr:uid="{00000000-0002-0000-0000-000000000000}">
      <formula1>"Por Hacer,En Progreso,Terminado"</formula1>
    </dataValidation>
  </dataValidations>
  <pageMargins left="0.75" right="0.75" top="1" bottom="1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8</vt:i4>
      </vt:variant>
    </vt:vector>
  </HeadingPairs>
  <TitlesOfParts>
    <vt:vector size="9" baseType="lpstr">
      <vt:lpstr>Sprint 1</vt:lpstr>
      <vt:lpstr>'Sprint 1'!DoneDays</vt:lpstr>
      <vt:lpstr>'Sprint 1'!ImplementationDays</vt:lpstr>
      <vt:lpstr>'Sprint 1'!SprintTasks</vt:lpstr>
      <vt:lpstr>'Sprint 1'!TaskRows</vt:lpstr>
      <vt:lpstr>'Sprint 1'!TaskStatus</vt:lpstr>
      <vt:lpstr>'Sprint 1'!TaskStoryID</vt:lpstr>
      <vt:lpstr>'Sprint 1'!TotalEffort</vt:lpstr>
      <vt:lpstr>'Sprint 1'!TrendDays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Bryams Ulises Vilchez Lazaro</dc:creator>
  <cp:lastModifiedBy>Bryams Ulises Vilchez Lazaro</cp:lastModifiedBy>
  <cp:lastPrinted>2026-05-03T17:38:20Z</cp:lastPrinted>
  <dcterms:created xsi:type="dcterms:W3CDTF">2026-05-03T17:38:45Z</dcterms:created>
  <dcterms:modified xsi:type="dcterms:W3CDTF">2026-05-03T17:38:45Z</dcterms:modified>
</cp:coreProperties>
</file>